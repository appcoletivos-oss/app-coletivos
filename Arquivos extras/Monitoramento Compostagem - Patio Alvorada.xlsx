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ompanhamento Compostagem Alvo" sheetId="1" r:id="rId5"/>
    <sheet state="hidden" name="Página17" sheetId="2" r:id="rId6"/>
    <sheet state="visible" name="Peso x tempo" sheetId="3" r:id="rId7"/>
    <sheet state="hidden" name="fonte x peso x tempo" sheetId="4" r:id="rId8"/>
    <sheet state="visible" name="Fonte - Peso - Lojas" sheetId="5" r:id="rId9"/>
    <sheet state="visible" name="Peso x Caixa" sheetId="6" r:id="rId10"/>
    <sheet state="hidden" name="peso x leira" sheetId="7" r:id="rId11"/>
    <sheet state="visible" name="Peso por mês" sheetId="8" r:id="rId12"/>
    <sheet state="hidden" name="Temperatura" sheetId="9" r:id="rId13"/>
    <sheet state="hidden" name="Gráficos Temperaturas" sheetId="10" r:id="rId14"/>
    <sheet state="hidden" name="Tabela Acompanhamento Compostag" sheetId="11" r:id="rId15"/>
    <sheet state="visible" name="Tabela Acompanhamento Adubo" sheetId="12" r:id="rId16"/>
    <sheet state="hidden" name="Tabela Acompanhamento Leiras" sheetId="13" r:id="rId17"/>
    <sheet state="hidden" name="Tabela Acompanhamento Colheitas" sheetId="14" r:id="rId18"/>
    <sheet state="hidden" name="Tabela Acompanhamento Água e en" sheetId="15" r:id="rId19"/>
    <sheet state="hidden" name="Análise sensorial" sheetId="16" r:id="rId20"/>
    <sheet state="hidden" name="Peso total por seção" sheetId="17" r:id="rId21"/>
  </sheets>
  <definedNames>
    <definedName hidden="1" localSheetId="0" name="_xlnm._FilterDatabase">'Acompanhamento Compostagem Alvo'!$A$1:$L$1050</definedName>
    <definedName hidden="1" localSheetId="8" name="_xlnm._FilterDatabase">Temperatura!$C$1:$C$999</definedName>
  </definedNames>
  <calcPr/>
</workbook>
</file>

<file path=xl/sharedStrings.xml><?xml version="1.0" encoding="utf-8"?>
<sst xmlns="http://schemas.openxmlformats.org/spreadsheetml/2006/main" count="6914" uniqueCount="1012">
  <si>
    <t>Nome</t>
  </si>
  <si>
    <t>Data</t>
  </si>
  <si>
    <t>Origem do resíduo</t>
  </si>
  <si>
    <t>Destino do resíduo / leira</t>
  </si>
  <si>
    <t>Peso (kg)</t>
  </si>
  <si>
    <t>Temperatura (graus)</t>
  </si>
  <si>
    <t>Temperatura / leira</t>
  </si>
  <si>
    <t>Observações (números de bombonas)</t>
  </si>
  <si>
    <t>Tipos de residuos</t>
  </si>
  <si>
    <t>Karol</t>
  </si>
  <si>
    <t>Carvalheira</t>
  </si>
  <si>
    <t>1A</t>
  </si>
  <si>
    <t>------------------</t>
  </si>
  <si>
    <t>Início #1A</t>
  </si>
  <si>
    <t>Carne moida, feijão, cascas de frutas</t>
  </si>
  <si>
    <t>1B</t>
  </si>
  <si>
    <t>Início #1B</t>
  </si>
  <si>
    <t>Cascas de frutas, Arroz, Feijão e Macarrão</t>
  </si>
  <si>
    <t>1C</t>
  </si>
  <si>
    <t>Início #1C</t>
  </si>
  <si>
    <t>Cascas de frutas, Macarrão, salsicha, feijão</t>
  </si>
  <si>
    <t>40°</t>
  </si>
  <si>
    <t>Apenas 1 bombona, devido a Cavarlheira ter descido os residuos apos as 16hrs! Veio plásticos</t>
  </si>
  <si>
    <t>Cascas de frutas e Feijão</t>
  </si>
  <si>
    <t>41°</t>
  </si>
  <si>
    <t>Alimentado na 1A novamente, devido a ser o restante das bombonas de ontem</t>
  </si>
  <si>
    <t>Cascas de frutas e Macarrão</t>
  </si>
  <si>
    <t>49°</t>
  </si>
  <si>
    <t>As tampas internas não estão sendo bem utilizadas</t>
  </si>
  <si>
    <t>Cascas de frutas, arroz, Feijão e resto de galinha</t>
  </si>
  <si>
    <t>51°</t>
  </si>
  <si>
    <t>Sem presença de sacolas plasticas</t>
  </si>
  <si>
    <t xml:space="preserve">50° </t>
  </si>
  <si>
    <t>Sem presença de sacolas plasticas e odor forte</t>
  </si>
  <si>
    <t>Resto de comida e ossos</t>
  </si>
  <si>
    <t>43°</t>
  </si>
  <si>
    <t>Presença de mofo e os microorganismos</t>
  </si>
  <si>
    <t>Cascas de frutas, Arroz, Feijoada e Carne</t>
  </si>
  <si>
    <t>INÍCIO DA DIVISÃO DA LEIRA EM 4 PARTES (1A; 1B; 1C; 1D)</t>
  </si>
  <si>
    <t>Abul</t>
  </si>
  <si>
    <t>47°</t>
  </si>
  <si>
    <t>50°</t>
  </si>
  <si>
    <t>Cascas de Laranja, Arroz e Feijão</t>
  </si>
  <si>
    <t xml:space="preserve">Presença de plastico nas bombonas. Temperatura seções: 1A - 60° | 1B:40° | 1C- 52° | 1D: 56° </t>
  </si>
  <si>
    <t>Cascas de Laranja, Arroz e Macarrão</t>
  </si>
  <si>
    <t>Bastante casca de laranja (7 bombonas)</t>
  </si>
  <si>
    <t>Cascas de Laranja e Arroz</t>
  </si>
  <si>
    <t>Rani</t>
  </si>
  <si>
    <t>1D</t>
  </si>
  <si>
    <t>Bastante casca de laranja (4 bombonas)</t>
  </si>
  <si>
    <t>Mayra</t>
  </si>
  <si>
    <t>Bastante resto de comida (7 bombonas)</t>
  </si>
  <si>
    <t>Cascas de Laranja, abacaxi, Arroz, macarrão, embutidos e Feijão</t>
  </si>
  <si>
    <t>52°</t>
  </si>
  <si>
    <t>Bastante resto de comida (4 bombonas)</t>
  </si>
  <si>
    <t>54°</t>
  </si>
  <si>
    <t>Bastante casca de frutas (6 bombonas)</t>
  </si>
  <si>
    <t>Cascas de Laranja, abacaxi, limão, Arroz, macarrão, ossos e Feijão</t>
  </si>
  <si>
    <t>60°</t>
  </si>
  <si>
    <t>Cascas de Laranja, abacaxi, limão, Arroz, macarrão e ossos</t>
  </si>
  <si>
    <t>Cascas de Laranja, abacaxi, limão, maracuja e  Arroz</t>
  </si>
  <si>
    <t>58°</t>
  </si>
  <si>
    <t>Bastante casca de frutas (9 bombonas)</t>
  </si>
  <si>
    <t>Bastante casca de frutas (5 bombonas)</t>
  </si>
  <si>
    <t>Casca de laranja, limão, abacaxi (inclusive inteiro) e acerola</t>
  </si>
  <si>
    <t>Bastante casca de frutas (4 bombonas)</t>
  </si>
  <si>
    <t>Casca de laranja, limão e acerola</t>
  </si>
  <si>
    <t>2A</t>
  </si>
  <si>
    <t>Inicio</t>
  </si>
  <si>
    <t>2B</t>
  </si>
  <si>
    <t>2C</t>
  </si>
  <si>
    <t>Casca de laranja, limão e Abacaxi</t>
  </si>
  <si>
    <t>2D</t>
  </si>
  <si>
    <t>Início</t>
  </si>
  <si>
    <t>8 bombonas, sendo 5 cheias</t>
  </si>
  <si>
    <t>Tendo 7 de cascas de frutas: Laranja, Limão e Abacaxi</t>
  </si>
  <si>
    <t>55°</t>
  </si>
  <si>
    <t>9 bombonas, 4 de resto de comida e 5 de cascas de frutas</t>
  </si>
  <si>
    <t>Arroz, Macarrão, Carne, Galinha, Feijão, Casca de Laranja, Limão, Caja, Beterraba, Maracuja e Abacaxi</t>
  </si>
  <si>
    <t>53°</t>
  </si>
  <si>
    <t>5 bombonas, sendo 4 de cascas de frutas e 1 de resto de comida</t>
  </si>
  <si>
    <t>Arroz, Macarrão, Carne, Galinha, Feijão, Casca de Laranja e Limão</t>
  </si>
  <si>
    <t xml:space="preserve">8 bombonas com resíduos, sendo 5 de cascas </t>
  </si>
  <si>
    <t>Caju, Laranja e Limao) e 3 de resto de alimentos (Macarrão, Galinha, Ossos e Arroz</t>
  </si>
  <si>
    <t>8 bombonas, sendo 5 com resto de comidas e 3 de cascas de frutas</t>
  </si>
  <si>
    <t>59°</t>
  </si>
  <si>
    <t>3 bombonas, sendo 2 de cascas de frutas e 1 de resto de comida</t>
  </si>
  <si>
    <t>10 bombonas, 7 de resto de comida e 3 de cascas de frutas</t>
  </si>
  <si>
    <t>Arroz, Macarrão, Galinha, Feijão, Casca de Laranja e Limão</t>
  </si>
  <si>
    <t>57°</t>
  </si>
  <si>
    <t>8 bombonas, sendo 5 de cascas e 3 de resto de comida</t>
  </si>
  <si>
    <t>Laranja, Limão, batata e melancia, Arroz, Carne, Feijão e Galinha</t>
  </si>
  <si>
    <t>Carrefour/Bompreço</t>
  </si>
  <si>
    <t>7 bombonas, bem misturadas</t>
  </si>
  <si>
    <t>Massa de pão, Batata, Pepino, Pimentão, Coxinha
Pao integral, Cuscuz, Salgadinho, Arroz, Carne, Queijo, Laranja, mamão, melancia, berinjela, beterraba e massa de pão</t>
  </si>
  <si>
    <t>Uva, batata, maça, galinha, pão, carne, cuscus, farinha,alface, rucula, berinjela, queijos</t>
  </si>
  <si>
    <t>4 bombonas, sendo 2 de cascas e 2 de resto de comida</t>
  </si>
  <si>
    <t>62°</t>
  </si>
  <si>
    <t>5 bombonas, 3 de cascas e 2 de resto de comida</t>
  </si>
  <si>
    <t>Casca de laranja, arroz, feijão, galinha e macarrao</t>
  </si>
  <si>
    <t xml:space="preserve">7 do bombreço bem misturadas </t>
  </si>
  <si>
    <t>maioria contendo pão, frutas, verduras, carne, galinha, queijo, cuscus e farinha</t>
  </si>
  <si>
    <t>15 bombonas Carrefour/Bompreço</t>
  </si>
  <si>
    <t>7 da carvalheira (5 de cascas de laranja e 2 de comida)</t>
  </si>
  <si>
    <t>10 Bombonas bem misturadas</t>
  </si>
  <si>
    <t>Queijo, pães, ração de gato, maça, laranja, uva, melancia, maracuja, melão, farinha, cuscuz, carne, galinha, linguiça, presunto, fiambre</t>
  </si>
  <si>
    <t>5 bombonas, 3 de cascas; Laranja, limão e abacate e 2 de resto de comida</t>
  </si>
  <si>
    <t>Laranja, Limão, Abacate, arroz, feijão, macarrão, galinha e ossos de carne</t>
  </si>
  <si>
    <t>3A</t>
  </si>
  <si>
    <t>3 bombonas (casca de laranja)</t>
  </si>
  <si>
    <t>Casca de laranja</t>
  </si>
  <si>
    <t>6 bombonas (pão, frios, frutas, verduras)</t>
  </si>
  <si>
    <t>pão, frios, frutas, verduras</t>
  </si>
  <si>
    <t>3B</t>
  </si>
  <si>
    <t>6 bombonas Carrefour/Bompreço:  (ração, pães, frutas e verduras)</t>
  </si>
  <si>
    <t>ração, pães, frutas e verduras</t>
  </si>
  <si>
    <t>7 bombonas da Carvalheira: (5 bombonas com casca de Laranja e 3 de resto de comida: Arroz, Feijão, macarrao, carne, galinha, Cuscuz)</t>
  </si>
  <si>
    <t>5 bombonas com casca de Laranja e 3 de resto de comida: Arroz, Feijão, macarrao, carne, galinha, Cuscuz</t>
  </si>
  <si>
    <t>Doca C</t>
  </si>
  <si>
    <t>4 bombonas doca C: (3 de cascas de laranja e 1 de resto de comida)</t>
  </si>
  <si>
    <t>3 de cascas de laranja e 1 de resto de comida</t>
  </si>
  <si>
    <t>Da doca foram as bombonas de laranja</t>
  </si>
  <si>
    <t>Cascas de Laranja</t>
  </si>
  <si>
    <t>56°</t>
  </si>
  <si>
    <t xml:space="preserve">7 bombonas </t>
  </si>
  <si>
    <t>Frutas, verdura, peixe, Carne, cereais, macarrão</t>
  </si>
  <si>
    <t>Administração</t>
  </si>
  <si>
    <t>1 adm</t>
  </si>
  <si>
    <t>Cascas de frutas</t>
  </si>
  <si>
    <t>3 bombonas de laranja</t>
  </si>
  <si>
    <t>7 bombonas</t>
  </si>
  <si>
    <t>Cascas de laranja, Limão, Abacaxi, Maças e resto de comida</t>
  </si>
  <si>
    <t>13 bombonas Carrefour/Bompreço</t>
  </si>
  <si>
    <t>2 bombonas</t>
  </si>
  <si>
    <t>Resto de comida</t>
  </si>
  <si>
    <t>8 bombonas Carrefour/Bompreco Maioria cascas de frutas e pães</t>
  </si>
  <si>
    <t>Maioria cascas de frutas e pães</t>
  </si>
  <si>
    <t>9 bombonas Carvalheira: (5 de cascas de laranja e limão e 4 de resto de alimentos)</t>
  </si>
  <si>
    <t>5 de cascas de laranja e limão e 4 de resto de alimentos</t>
  </si>
  <si>
    <t>19 bombonas</t>
  </si>
  <si>
    <t>7 carvalheira</t>
  </si>
  <si>
    <t>Cascas de Laranja, Abacaxi, Limão e resto de comida</t>
  </si>
  <si>
    <t>61°</t>
  </si>
  <si>
    <t>4 bombonas (cascas de laranja)</t>
  </si>
  <si>
    <t>cascas de laranja</t>
  </si>
  <si>
    <t>15 bombonas Carrefour/bompreço (marioria frutas, paes,carnes e osos)</t>
  </si>
  <si>
    <t>marioria frutas, paes,carnes e osos</t>
  </si>
  <si>
    <t>6 bombonas (Arroz, feijão, cascas de laranja,limão, pitaia, abacaxi e maracuja)</t>
  </si>
  <si>
    <t>Arroz, feijão, cascas de laranja,limão, pitaia, abacaxi e maracuja</t>
  </si>
  <si>
    <t>58,5°</t>
  </si>
  <si>
    <t>4 da carvalheira</t>
  </si>
  <si>
    <t>15 do Carrefour/Bompreço</t>
  </si>
  <si>
    <t>61,5°</t>
  </si>
  <si>
    <t xml:space="preserve">3 bombonas + 2 sacos de alface </t>
  </si>
  <si>
    <t>Cascas de frutas, verduras e arroz</t>
  </si>
  <si>
    <t xml:space="preserve">10 Carrefour/Bompreço </t>
  </si>
  <si>
    <t>4 Bombonas Carvalheira</t>
  </si>
  <si>
    <t xml:space="preserve">1 bombona Adm: </t>
  </si>
  <si>
    <t>Cascas de frutas e verduras</t>
  </si>
  <si>
    <t>3 bombonas Carrefour</t>
  </si>
  <si>
    <t>Frutas inteiras e pedaçõs de carne e peixe</t>
  </si>
  <si>
    <t>1 bombona Carvalheira</t>
  </si>
  <si>
    <t>Casca de Laranja</t>
  </si>
  <si>
    <t>60,5°</t>
  </si>
  <si>
    <t>16 bombonas Carrefour</t>
  </si>
  <si>
    <t>6 bombonas Carvalheira</t>
  </si>
  <si>
    <t>Arroz, feijão, Casca de laranja e ossos</t>
  </si>
  <si>
    <t>65°</t>
  </si>
  <si>
    <t>6 bombonas</t>
  </si>
  <si>
    <t>18 bombonas</t>
  </si>
  <si>
    <t>1  saco</t>
  </si>
  <si>
    <t>64°</t>
  </si>
  <si>
    <t>6 da carvalheira</t>
  </si>
  <si>
    <t>Cascas de Laranja e Limão</t>
  </si>
  <si>
    <t>18 do Carrefour</t>
  </si>
  <si>
    <t>Macarrão, Ração, Farinha, Cuscuz, Verduras, Frutas e Carnes</t>
  </si>
  <si>
    <t>Tio Armenio</t>
  </si>
  <si>
    <t>9 do Tio Armênio</t>
  </si>
  <si>
    <t>Arroz, Feijão, Pure, Saladas, Ossos e Carnes</t>
  </si>
  <si>
    <t>66°</t>
  </si>
  <si>
    <t>6 bombonas da Carvalheira</t>
  </si>
  <si>
    <t>Cascas de Larajna, Limão, Uvas e Pitaia</t>
  </si>
  <si>
    <t xml:space="preserve"> </t>
  </si>
  <si>
    <t>7 bombonas Tio Armenio</t>
  </si>
  <si>
    <t>Carrefour (Bompreço)</t>
  </si>
  <si>
    <t xml:space="preserve">4 bombonas da doca C </t>
  </si>
  <si>
    <t>Resto de comidas</t>
  </si>
  <si>
    <t>Adm</t>
  </si>
  <si>
    <t>Tio Armênio</t>
  </si>
  <si>
    <t>Plim</t>
  </si>
  <si>
    <t>Gabriel Bacelar</t>
  </si>
  <si>
    <t>12 Bompreço</t>
  </si>
  <si>
    <t>Frutas, Pães, Resto de comidas</t>
  </si>
  <si>
    <t>Terra</t>
  </si>
  <si>
    <t>Brulee</t>
  </si>
  <si>
    <t>Companhia do Choop</t>
  </si>
  <si>
    <t>Zio</t>
  </si>
  <si>
    <t>Yoshi</t>
  </si>
  <si>
    <t>Toscana</t>
  </si>
  <si>
    <t>9 bombonas Tio Armenio</t>
  </si>
  <si>
    <t>5 Bombonas Doca C</t>
  </si>
  <si>
    <t>Resto de Saladas e Comidas</t>
  </si>
  <si>
    <t>13 Bombonas Carrefour</t>
  </si>
  <si>
    <t>Frutas, Carnes, Queijos, Verduras e Pães</t>
  </si>
  <si>
    <t>Descanso leira 2; Cascas de lLaranja, Limão e Abacaxi</t>
  </si>
  <si>
    <t>2 da doca C</t>
  </si>
  <si>
    <t>Cascas de laranjas e resto de comida</t>
  </si>
  <si>
    <t>9 Carrefour</t>
  </si>
  <si>
    <t>Muitas frutas e verduras</t>
  </si>
  <si>
    <t xml:space="preserve"> DATA</t>
  </si>
  <si>
    <t>3 Carvalheira</t>
  </si>
  <si>
    <t>Casca de laranja e sobras de refeiçoes</t>
  </si>
  <si>
    <t>TERRA</t>
  </si>
  <si>
    <t>ZIO</t>
  </si>
  <si>
    <t>YOSHI</t>
  </si>
  <si>
    <t>7 da Tio armenio</t>
  </si>
  <si>
    <t>BRULEE</t>
  </si>
  <si>
    <t>CIA DO CHOPP</t>
  </si>
  <si>
    <t>GABRIEL BACELAR</t>
  </si>
  <si>
    <t>Pesagem anterior</t>
  </si>
  <si>
    <t>2 doca C</t>
  </si>
  <si>
    <t>Resto de comidas como arroz e feijão</t>
  </si>
  <si>
    <t>11 Bompreco</t>
  </si>
  <si>
    <t>5 Tio Armenio</t>
  </si>
  <si>
    <t>Arroz, Feijão, Pure, Saladas, frutos do mar, cebolas e Carnes</t>
  </si>
  <si>
    <t>2 Carvalheira</t>
  </si>
  <si>
    <t>Inicio leira 4</t>
  </si>
  <si>
    <t>4A</t>
  </si>
  <si>
    <t xml:space="preserve">1 doca C </t>
  </si>
  <si>
    <t>Casca de verdura e frutas</t>
  </si>
  <si>
    <t>11 Carrefour/Bompreco</t>
  </si>
  <si>
    <t>7 Tio Armênio</t>
  </si>
  <si>
    <t>4B</t>
  </si>
  <si>
    <t>12 Carrefour</t>
  </si>
  <si>
    <t>Frutas, verdura, peixe, Carne, ossos, raçao, cereais, macarrão</t>
  </si>
  <si>
    <t xml:space="preserve">8 Tio Armenio: </t>
  </si>
  <si>
    <t>Arroz, Feijão, Pure, Saladas, frutos do mar, cascas de verduras e Carnes</t>
  </si>
  <si>
    <t>2 Doca C</t>
  </si>
  <si>
    <t>Resto de comidas e cascas de laranja</t>
  </si>
  <si>
    <t>Verduras, frutas, ossos, carnes, salgados e paes</t>
  </si>
  <si>
    <t xml:space="preserve">9 Tio Armenio: </t>
  </si>
  <si>
    <t>3 Doca C</t>
  </si>
  <si>
    <t>Cascas de frutas como laranja, abacaxi e goiaba</t>
  </si>
  <si>
    <t>Cascas de frutas como laranja, abacaxi e limão</t>
  </si>
  <si>
    <t>14 Carrefour/Bompreco</t>
  </si>
  <si>
    <t>Não tinha iniciado</t>
  </si>
  <si>
    <t>9 Tio armenio</t>
  </si>
  <si>
    <t>Resto de comida e cascas de limão</t>
  </si>
  <si>
    <t>8 Carrefour</t>
  </si>
  <si>
    <t>10 Tio armenio</t>
  </si>
  <si>
    <t xml:space="preserve">7 Tio armenio: </t>
  </si>
  <si>
    <t>8 bombonas Tio armenio</t>
  </si>
  <si>
    <t>Arroz, Feijão, Pure, Saladas, frutos do mar</t>
  </si>
  <si>
    <t>6 bombonas Carrefour/Bompreco</t>
  </si>
  <si>
    <t>4 bombonas da Doca C</t>
  </si>
  <si>
    <t>16 bombonas Carrefour/Bompreco</t>
  </si>
  <si>
    <t>11 bombonas Tio armenio</t>
  </si>
  <si>
    <t>- 11 Tio armenio</t>
  </si>
  <si>
    <t>Ossos, carnes, arroz, feijoada</t>
  </si>
  <si>
    <t>- 13 Carrefour/Bompreco</t>
  </si>
  <si>
    <t>- 2 Doca C</t>
  </si>
  <si>
    <t>Descanso leira 3</t>
  </si>
  <si>
    <t>67°</t>
  </si>
  <si>
    <t>5 bombonas doca C</t>
  </si>
  <si>
    <t>Resto de comidas e cascas de verduras</t>
  </si>
  <si>
    <t xml:space="preserve">7 bombonas Carrefour/Bompreco </t>
  </si>
  <si>
    <t>3 bombonas com feijao: 38kg cada</t>
  </si>
  <si>
    <t>5 do tio armenio</t>
  </si>
  <si>
    <t>Frutas, verduras, feijão, arroz</t>
  </si>
  <si>
    <t>68°</t>
  </si>
  <si>
    <t>9 do Carrefour/Bompreco</t>
  </si>
  <si>
    <t>Frutas, verduras, carnes podres</t>
  </si>
  <si>
    <t>15 Tio armenio</t>
  </si>
  <si>
    <t>Frutas, verduras, carnes podres, feijão, arroz e raçao</t>
  </si>
  <si>
    <t>6 Tio armenio</t>
  </si>
  <si>
    <t>Reiniciou 1; Resto de comida</t>
  </si>
  <si>
    <t>N° caixa</t>
  </si>
  <si>
    <t>13 do Carrefour</t>
  </si>
  <si>
    <t>Frutas, verduras, carnes podres, arroz e raçao</t>
  </si>
  <si>
    <t>Peso ja compostado</t>
  </si>
  <si>
    <t>Status Atual</t>
  </si>
  <si>
    <t>69°</t>
  </si>
  <si>
    <t>Peso em que entrou em descanso</t>
  </si>
  <si>
    <t>19 do Carrefour</t>
  </si>
  <si>
    <t>Data da ultima alimentação</t>
  </si>
  <si>
    <t>Caixa 1</t>
  </si>
  <si>
    <t>Em descanso</t>
  </si>
  <si>
    <t>Caixa 2</t>
  </si>
  <si>
    <t>Caixa 3</t>
  </si>
  <si>
    <t>Caixa 4</t>
  </si>
  <si>
    <t>1 ADM</t>
  </si>
  <si>
    <t>70°</t>
  </si>
  <si>
    <t>4 doca C</t>
  </si>
  <si>
    <t>Resto de comida e cascas de frutas</t>
  </si>
  <si>
    <t>20 Carrefour</t>
  </si>
  <si>
    <t xml:space="preserve">Verduras, frutas, carnes, arroz, feijão cru, biscoito e salgadinho </t>
  </si>
  <si>
    <t>Caixa 5</t>
  </si>
  <si>
    <t>11 Tio armenio</t>
  </si>
  <si>
    <t>5 Tio armenio</t>
  </si>
  <si>
    <t>Resto de refeiçoes como feijoada, carne ensopada</t>
  </si>
  <si>
    <t>14 Carrefour</t>
  </si>
  <si>
    <t>4 Tio armenio</t>
  </si>
  <si>
    <t>Comida oleosa como bacalhal, carnes e sopas</t>
  </si>
  <si>
    <t>Colocar nova coluna para a nova alimentação - pois a caixa ja foi esvaziada, alimentada e vai ser utilizada novamente</t>
  </si>
  <si>
    <t>Caixa 6</t>
  </si>
  <si>
    <t>19 Carrefour</t>
  </si>
  <si>
    <t>Caixa 7</t>
  </si>
  <si>
    <t>13 Carrefour</t>
  </si>
  <si>
    <t>Resto de comida e frutos do mar</t>
  </si>
  <si>
    <t>8 Tio armenio</t>
  </si>
  <si>
    <t>Comida oleosa como bacalhal, Feijoada, carnes e sopas</t>
  </si>
  <si>
    <t>4 Doca C</t>
  </si>
  <si>
    <t>Caixa 8</t>
  </si>
  <si>
    <t>5 Carrefour</t>
  </si>
  <si>
    <t>Caixa 9</t>
  </si>
  <si>
    <t>Miojo, Farinha, Pao, Arroz, Macarrão, Carne, Galinha, Feijão, Casca de Laranja e Limão</t>
  </si>
  <si>
    <t>Uvas, Queijos, Farinha, Pao, Arroz, Macarrão, Carne, Galinha, Feijão, Casca de Laranja e Limão</t>
  </si>
  <si>
    <t>Caixa 10</t>
  </si>
  <si>
    <t>16 Carrefour</t>
  </si>
  <si>
    <t>Carnes podres com larvas, resto de verduras</t>
  </si>
  <si>
    <t>Caixa 11</t>
  </si>
  <si>
    <t>5 plim</t>
  </si>
  <si>
    <t>Cascas de laranja e abacaxi</t>
  </si>
  <si>
    <t>- 3 Tio Armenio: 74,24Kg</t>
  </si>
  <si>
    <t>- 2 Plim: 46,05Kg</t>
  </si>
  <si>
    <t>Cascas de laranja, limão e abacaxi</t>
  </si>
  <si>
    <t>- 16 Carrefour/Bompreço: 238,30Kg</t>
  </si>
  <si>
    <t>- 5 Tio armenio: 146,32 Kg</t>
  </si>
  <si>
    <t>Caixa 12</t>
  </si>
  <si>
    <t>- 2 Doca C: 41,35Kg</t>
  </si>
  <si>
    <t>- 14 Carrefour/Bompreço: 195,44Kg</t>
  </si>
  <si>
    <t>63°</t>
  </si>
  <si>
    <t>6 plim</t>
  </si>
  <si>
    <t>Caixa 13</t>
  </si>
  <si>
    <t>3 doca C</t>
  </si>
  <si>
    <t>Resto de comida e alface</t>
  </si>
  <si>
    <t>Caixa 14</t>
  </si>
  <si>
    <t>Esvaziamento</t>
  </si>
  <si>
    <t>13 Carrefour/Bompreco</t>
  </si>
  <si>
    <t>Caixa 15</t>
  </si>
  <si>
    <t>Resto de comida e Hamburguer</t>
  </si>
  <si>
    <t>Miojo, farinha, Macarrão, Carne, Galinha, Feijão, Casca de Laranja e Limão</t>
  </si>
  <si>
    <t>8 carrefour/Bompreco</t>
  </si>
  <si>
    <t>Caixa 16</t>
  </si>
  <si>
    <t>Caixa 17</t>
  </si>
  <si>
    <t>Caixa 18</t>
  </si>
  <si>
    <t>Caixa 19</t>
  </si>
  <si>
    <t>Não ativada</t>
  </si>
  <si>
    <t>Caixa 20</t>
  </si>
  <si>
    <t>Caixa 21</t>
  </si>
  <si>
    <t>Caixa 22</t>
  </si>
  <si>
    <t>Caixa 23</t>
  </si>
  <si>
    <t>Caixa 24</t>
  </si>
  <si>
    <t>Caixa 25</t>
  </si>
  <si>
    <t>Hamburguer e alface</t>
  </si>
  <si>
    <t>Resto de comida com bastante frutos do mar</t>
  </si>
  <si>
    <t>em descanso</t>
  </si>
  <si>
    <t>Caixa 26</t>
  </si>
  <si>
    <t>2 Plim</t>
  </si>
  <si>
    <t>1 Tio armenio</t>
  </si>
  <si>
    <t>Frutos do mar e refeiçoes completas</t>
  </si>
  <si>
    <t>1 Plim</t>
  </si>
  <si>
    <t>Casca de limão</t>
  </si>
  <si>
    <t xml:space="preserve">4 Carrefour </t>
  </si>
  <si>
    <t>Carne, Galinha, Miojo, verduras e Frutas</t>
  </si>
  <si>
    <t>11 Carrefour</t>
  </si>
  <si>
    <t>Feijao, frutas, verduras e Carne</t>
  </si>
  <si>
    <t>Cascas de laranja, Limão e abacaxi</t>
  </si>
  <si>
    <t>Casca de frutas; Limão, Laranja, Abacaxi e Bagaço de frutas como acerola, Goiaba</t>
  </si>
  <si>
    <t>Miojo, farinha, Macarrão, Carne, Galinha, Feijão, Frutas e verduras</t>
  </si>
  <si>
    <t>3 Tio Armenio</t>
  </si>
  <si>
    <t>Frutos do mar e feijoada</t>
  </si>
  <si>
    <t>3 Plim</t>
  </si>
  <si>
    <t>Resto de alimento e cascas de maracuja</t>
  </si>
  <si>
    <t>1 Doca C</t>
  </si>
  <si>
    <t>Casca de Laranja, Maracuja, Limão</t>
  </si>
  <si>
    <t>3 Tio armenio</t>
  </si>
  <si>
    <t>Feijoada, sopa e frutos do mar</t>
  </si>
  <si>
    <t>2 Carrefour</t>
  </si>
  <si>
    <t>Farinha, Uvas, Queijos e Carnes</t>
  </si>
  <si>
    <t>2 Tio Armenio</t>
  </si>
  <si>
    <t>Feijoada e frutos do mar</t>
  </si>
  <si>
    <t>5 Plim</t>
  </si>
  <si>
    <t>Miojo, farinha, cuscuz, Macarrão, Carne, Galinha, Feijão, Frutas e verduras</t>
  </si>
  <si>
    <t>Casca de Laranja, Maracuja e abacaxi</t>
  </si>
  <si>
    <t>Resto de refeições</t>
  </si>
  <si>
    <t>10 Carrefour</t>
  </si>
  <si>
    <t>Farinha, cuscuz, Macarrão, Carne, Galinha, Frutas e verduras</t>
  </si>
  <si>
    <t>Alface e Cascas de Laranja</t>
  </si>
  <si>
    <t>2 Tio armenio</t>
  </si>
  <si>
    <t>Macarrão, Carne, Galinha, Frutas e verduras</t>
  </si>
  <si>
    <t>4C</t>
  </si>
  <si>
    <t>6 Carrefour</t>
  </si>
  <si>
    <t>Carne, Galinha,Queijos, presunto, ovos, verduras e Frutas</t>
  </si>
  <si>
    <t>21 Carrefour</t>
  </si>
  <si>
    <t>Cascas de Laranja e abacaxi</t>
  </si>
  <si>
    <t>Resto de frutos do mar</t>
  </si>
  <si>
    <t>17 Carrefour</t>
  </si>
  <si>
    <t>Carnes, frutas, verdura, farinha, feijão, arroz e macarrao</t>
  </si>
  <si>
    <t>2 da PLIM</t>
  </si>
  <si>
    <t>18 do Carrefour/Bompreço</t>
  </si>
  <si>
    <t>2 do TIO ARMÊNIO</t>
  </si>
  <si>
    <t>7 Plim</t>
  </si>
  <si>
    <t>4 Carvalheira</t>
  </si>
  <si>
    <t>Cascas de frutas e alface</t>
  </si>
  <si>
    <t>4 Plim</t>
  </si>
  <si>
    <t>Cascas de Laranja e Abacaxi</t>
  </si>
  <si>
    <t>10 Carrefour/Bompreço:</t>
  </si>
  <si>
    <t>1 Carvalheira</t>
  </si>
  <si>
    <t>10 Carrefour/Bompreco</t>
  </si>
  <si>
    <t>3 plim</t>
  </si>
  <si>
    <t>6 Carrefour/Bompreco</t>
  </si>
  <si>
    <t>5 Carrefour/Bompreco</t>
  </si>
  <si>
    <t>Resto de comida de frutos do mar</t>
  </si>
  <si>
    <t>resto de comida</t>
  </si>
  <si>
    <t>ENTROU EM DESCANSO</t>
  </si>
  <si>
    <t>4 Carrefour/Bompreco</t>
  </si>
  <si>
    <t>5 Carvalheira</t>
  </si>
  <si>
    <t>6 Plim</t>
  </si>
  <si>
    <t xml:space="preserve">1 Carvalheira </t>
  </si>
  <si>
    <t xml:space="preserve">4 Tio armenio </t>
  </si>
  <si>
    <t>LEIRA ENTROU EM DESCANSO</t>
  </si>
  <si>
    <t>0°</t>
  </si>
  <si>
    <t>REINICIO</t>
  </si>
  <si>
    <t>12 Carrefour/Bompreco</t>
  </si>
  <si>
    <t>48°</t>
  </si>
  <si>
    <t>8 Plim</t>
  </si>
  <si>
    <r>
      <rPr>
        <rFont val="&quot;Arial&quot;"/>
        <color rgb="FF000000"/>
      </rPr>
      <t>6 Plim</t>
    </r>
  </si>
  <si>
    <r>
      <rPr>
        <rFont val="&quot;Arial&quot;"/>
        <color rgb="FF000000"/>
      </rPr>
      <t>3 Carvalheira</t>
    </r>
  </si>
  <si>
    <r>
      <rPr>
        <rFont val="&quot;Arial&quot;"/>
        <color rgb="FF000000"/>
      </rPr>
      <t>18 Carrefour/Bompreço</t>
    </r>
  </si>
  <si>
    <r>
      <rPr>
        <rFont val="&quot;Arial&quot;"/>
        <color rgb="FF000000"/>
      </rPr>
      <t>2 Plim</t>
    </r>
  </si>
  <si>
    <r>
      <rPr>
        <rFont val="&quot;Arial&quot;"/>
        <color rgb="FF000000"/>
      </rPr>
      <t>2 Carvalheira</t>
    </r>
  </si>
  <si>
    <r>
      <rPr>
        <rFont val="&quot;Arial&quot;"/>
        <color rgb="FF000000"/>
      </rPr>
      <t>13 Carrefour/Bompreço</t>
    </r>
  </si>
  <si>
    <t>6 Carvalheira</t>
  </si>
  <si>
    <t>7 Carrefour</t>
  </si>
  <si>
    <t>13 bombonas</t>
  </si>
  <si>
    <t>4 bombonas</t>
  </si>
  <si>
    <t>15 Carrefour</t>
  </si>
  <si>
    <t>18 Carvalheira</t>
  </si>
  <si>
    <t>12 carrefour</t>
  </si>
  <si>
    <t>10 Carvalheira</t>
  </si>
  <si>
    <t>24 Carrefour</t>
  </si>
  <si>
    <t>12 Carvalheira</t>
  </si>
  <si>
    <t>8 carrefour</t>
  </si>
  <si>
    <t>22 Carrefour</t>
  </si>
  <si>
    <t>Frutas, verduras, pães, arroz, feijão, fuba</t>
  </si>
  <si>
    <t>8 carvalheira</t>
  </si>
  <si>
    <t>Cx 1</t>
  </si>
  <si>
    <t>15 Carrefour - INICIO CAIXAS</t>
  </si>
  <si>
    <t>CX 2</t>
  </si>
  <si>
    <t>Cx 2</t>
  </si>
  <si>
    <t>Divisão bombonas: 3 Plim (48,98) + 7 Carvalheira (160,35) + 5 carrefour (89,05)</t>
  </si>
  <si>
    <t>Cascas de Laranja, resto de comida, frutas, verduras e carnes</t>
  </si>
  <si>
    <t>CX 4</t>
  </si>
  <si>
    <t>Cx 4</t>
  </si>
  <si>
    <t>Divisão bombonas: 2 Plim (58) + 1 carrefour (11,25)</t>
  </si>
  <si>
    <t>Cascas de Laranja, frutas, verduras e pães</t>
  </si>
  <si>
    <t>CX 5</t>
  </si>
  <si>
    <t>Cx 5</t>
  </si>
  <si>
    <t>Divisão bombonas:1 Carvalheira (29,88) + 3 carrefour (39,37)</t>
  </si>
  <si>
    <t>Resto de comida, frutas e verduras</t>
  </si>
  <si>
    <t>CX 6</t>
  </si>
  <si>
    <t>Cx 6</t>
  </si>
  <si>
    <t>Divisão bombonas: 4 Carrefour</t>
  </si>
  <si>
    <t>Frutas, verduras, pães e arroz</t>
  </si>
  <si>
    <t>Divisão bombonas: 7 Carrefour</t>
  </si>
  <si>
    <t>Frutas, verduras, pães e Macarrão seco</t>
  </si>
  <si>
    <t>Divisão bombonas: 3 Carrefour (42,56) + 2 PLIM (33,34) +
2 Carvalheira (29,56)</t>
  </si>
  <si>
    <t>Verduras, frutas, pães, arroz, cascas de Laranja e resto de comida</t>
  </si>
  <si>
    <t>CX 3</t>
  </si>
  <si>
    <t>Cx 3</t>
  </si>
  <si>
    <t>Divisão bombonas: 3 carvalheira (59,09) +
1 PLIM (15,73) + 4 Carrefour/Bompreço: (91,03)</t>
  </si>
  <si>
    <t>Resto de comida, cascas de Laranja, frutas, verduras e paes</t>
  </si>
  <si>
    <t>7 Carvalheira</t>
  </si>
  <si>
    <t>45°</t>
  </si>
  <si>
    <t>Divisão bombonas: 1 PLIM (18,73) + 4 Carrefour/Bompreço: (39,93)</t>
  </si>
  <si>
    <t>Cascas de Laranja, verduras, pães, frutas, chocolate</t>
  </si>
  <si>
    <t>Divisão bombonas: 1 Carvalheira (22) + 1 Carrefour/Bompreço: (18,73)</t>
  </si>
  <si>
    <t>Resto de comida e verduras</t>
  </si>
  <si>
    <t>Frutas, verduras, pães e Macarrão</t>
  </si>
  <si>
    <t>CX 7</t>
  </si>
  <si>
    <t>Cx 7</t>
  </si>
  <si>
    <t>Divisão bombonas: 1 Carvalheira: (22,79) + 5 Carrefour: (83,93)</t>
  </si>
  <si>
    <t>Resto de comida e frutas</t>
  </si>
  <si>
    <t>CX 8</t>
  </si>
  <si>
    <t>Cx 8</t>
  </si>
  <si>
    <t>Divisão bombonas: 1 PLIM: (16,36) + 2 Carvalheira: (31,52) +
3 Carrefour: (57,06)</t>
  </si>
  <si>
    <t>Casca de Laranja, frutas, verduras, pães e resto de comida</t>
  </si>
  <si>
    <t>CX 9</t>
  </si>
  <si>
    <t>Cx 9</t>
  </si>
  <si>
    <t>Divisão bombonas: 2 PLIM: (39,54) + 3 Carvalheira: (69,25)</t>
  </si>
  <si>
    <t>Casca de Laranja e resto de comida</t>
  </si>
  <si>
    <t>Divisão bombonas: 6 Carrefour ( 86,37) + 1 Plim (16,3)</t>
  </si>
  <si>
    <t>frutas, verduras, legumes, raízes…açúcar, miojo e leite, cascas de frutas e verduras</t>
  </si>
  <si>
    <t>Divisão bombonas: 2 Carrefour ( 51,32) + 2 Carvalheira (50,24)</t>
  </si>
  <si>
    <t xml:space="preserve">frango, carne, pão e peixe, resto e sobra de comida cozinhada
</t>
  </si>
  <si>
    <t>Divisão bombonas: 5 Carrefour (62,79) + 2 Plim (33,36)</t>
  </si>
  <si>
    <t>frutas, verduras, legumes, carne, frango, miojo, bolo e pão,cascas de frutas e resto e sobra de comida cozinhada</t>
  </si>
  <si>
    <t>3 Carrefour</t>
  </si>
  <si>
    <t>frango, carne, pão, frutas e verduras.</t>
  </si>
  <si>
    <t>cascas de frutas</t>
  </si>
  <si>
    <t>resto e sobra de comida cozinhada</t>
  </si>
  <si>
    <t>Leira</t>
  </si>
  <si>
    <t>peso atual</t>
  </si>
  <si>
    <t>1° descanso</t>
  </si>
  <si>
    <t>1a mobilização</t>
  </si>
  <si>
    <t>2° descanso</t>
  </si>
  <si>
    <t>2a mobilização</t>
  </si>
  <si>
    <t>3° descanso</t>
  </si>
  <si>
    <t>Divisão Bombonas: 1 Plim (15,10) + 1 Carvalheira (15,98) + 4 Carrefour (65,98)</t>
  </si>
  <si>
    <t>cascas de verduras, de Laranja.verdura, fruta, panetone, carne, frango e feijão,</t>
  </si>
  <si>
    <r>
      <rPr>
        <rFont val="Arial"/>
        <color theme="1"/>
      </rPr>
      <t xml:space="preserve">até 09/01/2024 = </t>
    </r>
    <r>
      <rPr>
        <rFont val="Arial"/>
        <b/>
        <color theme="1"/>
      </rPr>
      <t>2.805,78kg</t>
    </r>
  </si>
  <si>
    <t>esvaziada dia 09/04/2024 com 2ton aprox.</t>
  </si>
  <si>
    <r>
      <rPr>
        <rFont val="Arial"/>
        <color theme="1"/>
      </rPr>
      <t xml:space="preserve">De 8/5 a 30/7 = </t>
    </r>
    <r>
      <rPr>
        <rFont val="Arial"/>
        <b/>
        <color theme="1"/>
      </rPr>
      <t>8.143,42Kg</t>
    </r>
  </si>
  <si>
    <t>pão de queijo, queijo, embutidos, frutas, legumes e verduras, doce de goiaba e casca de laranja</t>
  </si>
  <si>
    <t>Esvaziada dia 24/01/25 com 6ton aprox</t>
  </si>
  <si>
    <t>Divisão Bombonas:3 Carrefour (50,77) + 2 Plim (35,78)</t>
  </si>
  <si>
    <t>Pães e massas, frutas e frango.e cascas de laranja</t>
  </si>
  <si>
    <t>Divisão Bombonas: 2 Plim: 25 +  2 Carrefour: 49,06</t>
  </si>
  <si>
    <t xml:space="preserve">Frutas, pães, cascas de frutas e verduras </t>
  </si>
  <si>
    <t>Divisão Bombonas: 2 Plim: 22,35 +  4 Carrefour: 74,75</t>
  </si>
  <si>
    <t>Pães, cascas de Laranja, Cebola e frutas</t>
  </si>
  <si>
    <t>Divisão Bombonas: 7 Carrefour: (87,70) + 1 Plim: (11)</t>
  </si>
  <si>
    <t>Divisão Bombonas: 5 Carrefour: (81,15) + 1 Plim: (20,35)</t>
  </si>
  <si>
    <t>Cascas de frutas, pães e verduras</t>
  </si>
  <si>
    <t>Divisão Bombonas: 3 Carrefour: (79,64) + 1 Plim: (22,545)</t>
  </si>
  <si>
    <t>Galinha, Carne e Verduras</t>
  </si>
  <si>
    <t>Divisão Bombonas: 4 Carrefour: (92) + 1 Plim: (11)</t>
  </si>
  <si>
    <t>Galinha Inteira, Frutas e Cascas de Laranja</t>
  </si>
  <si>
    <t>1 Carrefour</t>
  </si>
  <si>
    <t>Massa de panetone</t>
  </si>
  <si>
    <t>Divisão Bombonas: 3 Carvalheira: (31,95) + 5 Carrefour: (69,40)</t>
  </si>
  <si>
    <t>Resto de comida, pães, frutas, verduras</t>
  </si>
  <si>
    <t>3 Carvalheira: 65,44 + 3 Carrefour: 37,12</t>
  </si>
  <si>
    <t>4 Carrefour</t>
  </si>
  <si>
    <t>Carnes, frios e frutas</t>
  </si>
  <si>
    <r>
      <rPr>
        <rFont val="Arial"/>
        <color theme="1"/>
      </rPr>
      <t xml:space="preserve">até 10/04/2024 = </t>
    </r>
    <r>
      <rPr>
        <rFont val="Arial"/>
        <b/>
        <color theme="1"/>
      </rPr>
      <t>5.605,02kg</t>
    </r>
  </si>
  <si>
    <t>esvaziada dia 16/08/2024 com 4ton aprox.</t>
  </si>
  <si>
    <r>
      <rPr>
        <rFont val="Arial"/>
        <color theme="1"/>
      </rPr>
      <t xml:space="preserve">De 14/8 a 24/01/25 = </t>
    </r>
    <r>
      <rPr>
        <rFont val="Arial"/>
        <b/>
        <color theme="1"/>
      </rPr>
      <t>16.806,10 kg</t>
    </r>
  </si>
  <si>
    <t>Cascas de Laranja, Limão e abacaxi</t>
  </si>
  <si>
    <t>2 Plim(41,2Kg) + 2 Carrefour (37Kg)</t>
  </si>
  <si>
    <t>Cascas de Laranja e frutas</t>
  </si>
  <si>
    <t>24 bombonas</t>
  </si>
  <si>
    <t>Restos de comida</t>
  </si>
  <si>
    <t>3 bombonas do Carrefour (67,89Kg) + 1 Plim (13,22Kg)</t>
  </si>
  <si>
    <t>Cascas de Laranja, Pães, Frutas e Verduras</t>
  </si>
  <si>
    <t>4 carrefour</t>
  </si>
  <si>
    <t>Pães, Frutas, Verduras e Salgadinho</t>
  </si>
  <si>
    <t xml:space="preserve">6 bombonas do Carrefour/Bompreço </t>
  </si>
  <si>
    <t>8 bombonas</t>
  </si>
  <si>
    <t>13 bombonas carrefour</t>
  </si>
  <si>
    <t>Cascas de frutas, queijos, frutas e verduras</t>
  </si>
  <si>
    <t>2 bombonas Carrefour</t>
  </si>
  <si>
    <t>Frutas, queijos, pães e verduras</t>
  </si>
  <si>
    <t>Frutas e verduras</t>
  </si>
  <si>
    <t>1 Plim (23,75Kg) + 1 Carrefour (27,37Kg)</t>
  </si>
  <si>
    <t>Casca de Laranja e frutas</t>
  </si>
  <si>
    <r>
      <rPr>
        <rFont val="Arial"/>
        <color theme="1"/>
      </rPr>
      <t xml:space="preserve">até 02/05/2024 = </t>
    </r>
    <r>
      <rPr>
        <rFont val="Arial"/>
        <b/>
        <color theme="1"/>
      </rPr>
      <t>5.057,21</t>
    </r>
  </si>
  <si>
    <t>com 4 ton aprox.</t>
  </si>
  <si>
    <t>Carnes</t>
  </si>
  <si>
    <t>Frutas, verduras, carnes, paes, frios, plantas e panetone</t>
  </si>
  <si>
    <t>8 Carvalheira</t>
  </si>
  <si>
    <t xml:space="preserve">Frutas, verduras, pães </t>
  </si>
  <si>
    <t>5 carrefour</t>
  </si>
  <si>
    <t>2 carvalheira</t>
  </si>
  <si>
    <t>2 carrefour</t>
  </si>
  <si>
    <t xml:space="preserve">frutas, verduras e pães </t>
  </si>
  <si>
    <t xml:space="preserve">Carne, frutas, verduras e pães </t>
  </si>
  <si>
    <t xml:space="preserve">Chocolate, Verduras, frutas e pães </t>
  </si>
  <si>
    <t>4 bombonas Carrefour e 1 Plim (23,75Kg)</t>
  </si>
  <si>
    <t xml:space="preserve">Cascas de laranja, Verduras, Frutas, Pães </t>
  </si>
  <si>
    <r>
      <rPr>
        <rFont val="Arial"/>
        <color theme="1"/>
      </rPr>
      <t xml:space="preserve">até 14/08/2024 = </t>
    </r>
    <r>
      <rPr>
        <rFont val="Arial"/>
        <b/>
        <color theme="1"/>
      </rPr>
      <t>11.300,59</t>
    </r>
  </si>
  <si>
    <t>Resto de Comida e frutos do mar</t>
  </si>
  <si>
    <t>6 carrefour</t>
  </si>
  <si>
    <t>Frutas, Verduras, Queijo, presunto, pães e charque</t>
  </si>
  <si>
    <t>4 carrefour (74,45) + 1 Plim (27)</t>
  </si>
  <si>
    <t>Cascas de laranja, frutas, verduras e pães</t>
  </si>
  <si>
    <t>9 Carvalheira</t>
  </si>
  <si>
    <t>5 bombonas Carrefour/Bompreco:  78Kg
4 Carvalheira - 71Kg</t>
  </si>
  <si>
    <t>5 bombonas Carrefour</t>
  </si>
  <si>
    <t>CX 10</t>
  </si>
  <si>
    <t>Cx 10</t>
  </si>
  <si>
    <t>5 bombonas Carrefour: 80,56Kg +
2 bombonas Carvalheira: 27,89Kg</t>
  </si>
  <si>
    <t>Resto de comida, Frutas, verduras e pães</t>
  </si>
  <si>
    <t>CX 11</t>
  </si>
  <si>
    <t>Cx 11</t>
  </si>
  <si>
    <t>1 Plim: 22,14Kg + 
2 Carvalheira: 36Kg +
2 Carrefour: 44,21Kg</t>
  </si>
  <si>
    <t>3 bombonas Carvalheira:</t>
  </si>
  <si>
    <t>5 bombonas Carvalheira: 112Kg + 4 bombonas Carrefour: 64Kg</t>
  </si>
  <si>
    <t>Resto de comida (bastante plastico) + Frutas, Verduras, Queijo, presunto, pães e charque</t>
  </si>
  <si>
    <t>CX 12</t>
  </si>
  <si>
    <t>Cx 12</t>
  </si>
  <si>
    <t>3 Plim: 63,88Kg + 3 bombonas Carrefour: 42,12Kg</t>
  </si>
  <si>
    <t>CX 13</t>
  </si>
  <si>
    <t>Cx 13</t>
  </si>
  <si>
    <t>7 bombonas Carrefour: 104Kg</t>
  </si>
  <si>
    <t>Frutas, Verduras, Queijo, presunto, pães</t>
  </si>
  <si>
    <t>CX 14</t>
  </si>
  <si>
    <t>Cx 14</t>
  </si>
  <si>
    <t xml:space="preserve">Pães, frios, verduras e frutas </t>
  </si>
  <si>
    <t>CX 15</t>
  </si>
  <si>
    <t>Cx 15</t>
  </si>
  <si>
    <t>4 bombonas carrefour: 70,03Kg +
1 Plim: 18,09Kg</t>
  </si>
  <si>
    <t>9 bombonas carvalheira</t>
  </si>
  <si>
    <t>CX 16</t>
  </si>
  <si>
    <t>Cx 16</t>
  </si>
  <si>
    <t>3 Plim: 38,20Kg + 3 carrefour: 60,58Kg</t>
  </si>
  <si>
    <t>35°</t>
  </si>
  <si>
    <t>4 Carrefour 77,25 Kg + 1 Plim: 21,10Kg</t>
  </si>
  <si>
    <t>Frutas, Verduras, Queijo, presunto, pães e Cascas de frutas</t>
  </si>
  <si>
    <t>4 Carrefour 90,03Kg + 1 Plim: 12,08Kg</t>
  </si>
  <si>
    <t xml:space="preserve">Cascas de frutas, Pães, frios, verduras e frutas </t>
  </si>
  <si>
    <t>46°</t>
  </si>
  <si>
    <t xml:space="preserve"> 2 Plim: 41,19Kg + 2 carrefour: 52,79Kg</t>
  </si>
  <si>
    <t>Frutas, verduras, pães e achocolatado</t>
  </si>
  <si>
    <t>44°</t>
  </si>
  <si>
    <t xml:space="preserve">Carne, frutas, cafe, salgadinho, verduras e pães </t>
  </si>
  <si>
    <t>1 bombona Carrefour + 1 Plim</t>
  </si>
  <si>
    <t>Verduras e cascas de laranja</t>
  </si>
  <si>
    <t>4 bombonas Carrefour (83,30Kg) + 1 Plim (20,18Kg)</t>
  </si>
  <si>
    <t>Pães, Frutas, verduras e Cascas de frutas</t>
  </si>
  <si>
    <t>4 bombonas Carrefour (72,20Kg) + 1 Carvalheira (19,70Kg)</t>
  </si>
  <si>
    <t>- Resto de comida, frutas, pães e verduras</t>
  </si>
  <si>
    <t>6 carvalheira</t>
  </si>
  <si>
    <t>4 bombonas Carrefour (n° 6, 29, 30 e 31): 77,50Kg
1 Plim (n° 43): 11,50Kg
1 Carvalheira (n° 23): 12,84Kg</t>
  </si>
  <si>
    <t>4 Carrefour (n° 40,37,48 e 39)</t>
  </si>
  <si>
    <t xml:space="preserve">Pães, Frutas, verduras </t>
  </si>
  <si>
    <t>2 Carvalheira (n°14, 34) : 45,05Kg
12 Carrefour (01,02,47,34,09,08,24,55,62,64,57 e 68): 188,79Kg + 1 plim (n°20): 19,60Kg</t>
  </si>
  <si>
    <t>Frutas, carne, verduras, pães e Macarrão seco</t>
  </si>
  <si>
    <t>3 Plim: 66,50 + 2 Carrefour: 35,95</t>
  </si>
  <si>
    <t>Frutas, carne, verduras, pães e cascas de laranja</t>
  </si>
  <si>
    <t>6 Carrefour: 103,00</t>
  </si>
  <si>
    <t>30°</t>
  </si>
  <si>
    <t>5 Carvalheira: 120,95 + 5 carrefour: 95,28</t>
  </si>
  <si>
    <t>1 Plim: 20,30 + 4 Carrefour: 80,70</t>
  </si>
  <si>
    <t>Cascas de laranja,Frutas e verduras</t>
  </si>
  <si>
    <t>5 Carrefour: 100,56</t>
  </si>
  <si>
    <t>36°</t>
  </si>
  <si>
    <t>15 Carrefour: 187,19</t>
  </si>
  <si>
    <t>Frutas, Verduras, Queijo, presunto, pães, carnes e charque</t>
  </si>
  <si>
    <t>2 Plim e 3 Carrefour</t>
  </si>
  <si>
    <t>Cascas de Laranja + frutas e verduras</t>
  </si>
  <si>
    <t>5 Carrefour e 1 Plim</t>
  </si>
  <si>
    <t>Pães, carnes, frutas, farinha, verduras e bolachas + Cascas de Laranja</t>
  </si>
  <si>
    <t>38°</t>
  </si>
  <si>
    <t>10 Carvalheira: 243,48Kg (Resto de comida)</t>
  </si>
  <si>
    <t>2 Plim - 37,3Kg + 11 Carrefour - 282,10Kg + 9 Carvalheira - 289,95Kg</t>
  </si>
  <si>
    <t>Resto de comida + Pães, carnes, frutas, farinha, verduras e bolachas + Cascas de Laranja</t>
  </si>
  <si>
    <t>5 Carvalheira: 112,57Kg + 2 carrefour: 46</t>
  </si>
  <si>
    <t>Resto de comida e carnes</t>
  </si>
  <si>
    <t>1 Plim: 14Kg + 4 carrefour: 70kg</t>
  </si>
  <si>
    <t>Cascas de laranja, verduras e paes</t>
  </si>
  <si>
    <t>3 Carrefour: 60,56</t>
  </si>
  <si>
    <t>Verduras, frutas e paes</t>
  </si>
  <si>
    <t>4 Plim: 75,6 + 2 Carvalheira: 56,54 + 6 Carrefour: 116,58</t>
  </si>
  <si>
    <t>Resto de comida, frutas, verduras, pães, cereais</t>
  </si>
  <si>
    <t>- 11 bombonas da Carvalheira: 288,35Kg
- 2 bombonas do Carrefour: 30,16Kg</t>
  </si>
  <si>
    <t>Frutas, Verduras, Queijo, leite em pó, farinha, farelo de aveia, presunto, pães, carnes e charque</t>
  </si>
  <si>
    <t>13 Carvalheira</t>
  </si>
  <si>
    <t>Resto de comida e cascas de frutas e verduras</t>
  </si>
  <si>
    <t>11 Plim</t>
  </si>
  <si>
    <t>24 Carvalheira</t>
  </si>
  <si>
    <t>15 bombonas</t>
  </si>
  <si>
    <t>37°</t>
  </si>
  <si>
    <t>5 bombonas</t>
  </si>
  <si>
    <t>39°</t>
  </si>
  <si>
    <t>Cascas de laranja</t>
  </si>
  <si>
    <t>14 bombonas</t>
  </si>
  <si>
    <t>10 bombonas</t>
  </si>
  <si>
    <t>27 bombonas</t>
  </si>
  <si>
    <t>23 bombonas</t>
  </si>
  <si>
    <t>76°</t>
  </si>
  <si>
    <t>77°</t>
  </si>
  <si>
    <t>1 bombona</t>
  </si>
  <si>
    <t>16 bombonas</t>
  </si>
  <si>
    <t>73°</t>
  </si>
  <si>
    <t>12 bombonas</t>
  </si>
  <si>
    <t>75°</t>
  </si>
  <si>
    <t>79°</t>
  </si>
  <si>
    <t>80°</t>
  </si>
  <si>
    <t>17 bombonas</t>
  </si>
  <si>
    <t>2 Plim: 31,25 + 2 Carrefour + 1 Balde avulso: 77,98</t>
  </si>
  <si>
    <t>CX 17</t>
  </si>
  <si>
    <t>Cx 17</t>
  </si>
  <si>
    <t>CX 18</t>
  </si>
  <si>
    <t>Cx 18</t>
  </si>
  <si>
    <t>1 Plim (8,90) + 4 Carrefour (98,10)</t>
  </si>
  <si>
    <t>1 bombona GB (24,7) + 3 Carrefour (74,60Kg)</t>
  </si>
  <si>
    <t>Jamille</t>
  </si>
  <si>
    <t>8 bombona</t>
  </si>
  <si>
    <t>9 bombonas</t>
  </si>
  <si>
    <t>25 bombonas</t>
  </si>
  <si>
    <t>Mês</t>
  </si>
  <si>
    <t>Peso  (resíduos compostados em kg)</t>
  </si>
  <si>
    <t>8 bombonas cavalheira</t>
  </si>
  <si>
    <t>4 bombonas: 3 bombonas GB - 78,80Kg e 1 Carvalheira
36,6Kg</t>
  </si>
  <si>
    <t>3 bombonas</t>
  </si>
  <si>
    <t>Temperatura (°C)</t>
  </si>
  <si>
    <t>CX 19</t>
  </si>
  <si>
    <t>Cx 19</t>
  </si>
  <si>
    <t>Inicio da compostagem 2026 (com 90% das caixas zeradas e novas lojas)</t>
  </si>
  <si>
    <t>Ana Karla</t>
  </si>
  <si>
    <t>1 bombona: 71</t>
  </si>
  <si>
    <t>1 bombona: 72</t>
  </si>
  <si>
    <t>3 bombonas: 2 bombonas Terra (71 e 72): 51,66Kg + 1 bombona Yoshi (83): 16,70Kg</t>
  </si>
  <si>
    <t>4 bombonas terra (71 a 74): 69,10Kg + 1 Yoshi (83):35,41Kg</t>
  </si>
  <si>
    <t>Companhia do Chopp</t>
  </si>
  <si>
    <t>3 bombonas Companhia do Chopp (101,102 e 104): 72,58Kg + 3 yoshi (84,85 e 87): 47,73Kg</t>
  </si>
  <si>
    <t>3 bombonas cavalheira</t>
  </si>
  <si>
    <t>Com muito residuos de comida ja em decomposição</t>
  </si>
  <si>
    <t>3 bombonas terra: 39,7Kg + 2 bombonas: 69,33Kg</t>
  </si>
  <si>
    <t>3 bombonas yoshi</t>
  </si>
  <si>
    <t>42°</t>
  </si>
  <si>
    <t>2 bombonas terra (75 e 72): 46kg + 1 bombona companhia do Chopp (102): 32kg</t>
  </si>
  <si>
    <t>1 bombona yoshi: 18,85 + 1 bombona Terra: 29,1Kg + cia do chopp: 10,85Kg</t>
  </si>
  <si>
    <t>Lucimar</t>
  </si>
  <si>
    <t>2 bombonas Companhia do Chopp (103 e 120): 26,70Kg + 1 yoshi (85): 38,67Kg + 2 terra (73 e 76): 38,67Kg</t>
  </si>
  <si>
    <t>5 bombonas (2 - 71, 72,73 e 74)</t>
  </si>
  <si>
    <t>1 bombona (97)</t>
  </si>
  <si>
    <t>3 bombonas (83,87 e 89)</t>
  </si>
  <si>
    <t>3 bombonas (103,104 e 120)</t>
  </si>
  <si>
    <t>2 bombonas (2-76)</t>
  </si>
  <si>
    <t>1 bombona (88)</t>
  </si>
  <si>
    <t>2 bombonas (101 e 102)</t>
  </si>
  <si>
    <t>2 bombonas (120 e 99)</t>
  </si>
  <si>
    <t>3 bombonas (2-71 e 73)</t>
  </si>
  <si>
    <t>2 bombonas (85 e 86)</t>
  </si>
  <si>
    <t>2 bombonas (72 e 74)</t>
  </si>
  <si>
    <t>3 bombonas (83,92 e 93)</t>
  </si>
  <si>
    <t>2 bombonas (103 e 120)</t>
  </si>
  <si>
    <t>2 bombonas (73 e 75)</t>
  </si>
  <si>
    <t>2 bombonas (102 e 104)</t>
  </si>
  <si>
    <t>1 bombona (89)</t>
  </si>
  <si>
    <t>2 bombonas (103,120)</t>
  </si>
  <si>
    <t>1 bombona (83)</t>
  </si>
  <si>
    <t>5 bombonas (2-71,73)</t>
  </si>
  <si>
    <t>2 bombonas (74,75)</t>
  </si>
  <si>
    <t>4 Bombonas</t>
  </si>
  <si>
    <t>1 bombona Yoshi (N• 83) - 20,30Kg, 1 bombona Brulee (N• 95) - 19,75Kg e 1
Cia do Chopp (N• 99) -  7,88Kg</t>
  </si>
  <si>
    <t>4 bombonas (71,72,75 e 76)</t>
  </si>
  <si>
    <t>1 bombona (84)</t>
  </si>
  <si>
    <t>Kaciane</t>
  </si>
  <si>
    <t>1 bombona (85)</t>
  </si>
  <si>
    <t>2 bombonas (71 e 75)</t>
  </si>
  <si>
    <t>1 bombona (101)</t>
  </si>
  <si>
    <t>4 bombonas - 1 cia do chopp (24,20) e 3 bombonas Terra (80,03)</t>
  </si>
  <si>
    <t>3 bombonas Terra</t>
  </si>
  <si>
    <t>4 bombonas - 2 Zio (60,29Kg) e 2 Yoshi (36,48Kg)</t>
  </si>
  <si>
    <t>2 bombonas - 1 Gabriel Bacelar (40,100) e 1 yoshi (24,100)</t>
  </si>
  <si>
    <t>3 bombonas - 2 zio (79,87) e 1 yoshi (28,90)</t>
  </si>
  <si>
    <t>4 bombonas -  2 cia do chopp (47,26Kg) e 2 terra (52,76)</t>
  </si>
  <si>
    <t>2 bombonas terra</t>
  </si>
  <si>
    <t xml:space="preserve">1 bombona </t>
  </si>
  <si>
    <t>4 bombonas - 3 yoshi (65,35) e 1 terra (39,95)</t>
  </si>
  <si>
    <t>5 bombonas - 3 Zio (66,6) e 2 terra (34,4)</t>
  </si>
  <si>
    <t>5 bombonas - 3 terra (46,70) e 2 Brulle (55,63)</t>
  </si>
  <si>
    <t>3 bombonas - 1 zio (33,4) e 2 Yoshi (71,15)</t>
  </si>
  <si>
    <t>2 bombonas - 1 Zio (29,02) e 1 Yoshi (28,87)</t>
  </si>
  <si>
    <t>2 bombona Gabriel + 1 bombona Yoshi (30)</t>
  </si>
  <si>
    <t>6 bombonas - 5 terra (60,04) e 1 Zio (37,78)</t>
  </si>
  <si>
    <t>3 bombonas - 2 zio (26) e 1 yoshi (25,42)</t>
  </si>
  <si>
    <t>5 bombonas - 2 Yoshi (25,40), 1 terra (28,10), 1 cia do chopp (26,30) e 1 zio (40,15)</t>
  </si>
  <si>
    <t>5 bombonas - 3 terra (30,9). 1 cia do chopp (38,90), 1 Zio (38,50)</t>
  </si>
  <si>
    <t>5 bombonas - 2 Yoshi (33,95), 2 terra (38,85) e 1 cia do chopp (27,2)</t>
  </si>
  <si>
    <t>3 Cia do Chopp (bombonas 100, 120 e 104): 24,15 kg + 1 Zio (82): 32,12Kg + Yoshi (bombonas 88, 91 e 86): 45,90 kg</t>
  </si>
  <si>
    <t>2 Yoshi (84 e 87): 50,12Kg + 2 Terra (96 e 99) : 58,78Kg</t>
  </si>
  <si>
    <t>ZIO (bombonas 78, 83, 78 novamente e 79): 97,95 kg</t>
  </si>
  <si>
    <t>Terra (bombonas 94, 74, 75, 75, 76, 71, 77, 76 e 77): 106,30 kg</t>
  </si>
  <si>
    <t>1 Zio (82): 32,12Kg + Brullêe (bombona 97): 36,05 kg</t>
  </si>
  <si>
    <t xml:space="preserve">1 Terra (bombona 73): 30,10 kg + 1 ZIO (bombona 85): 28,85 kg; </t>
  </si>
  <si>
    <t>1 Zio (81) - 19,50 + 1 Terra (76,74) - 38,45</t>
  </si>
  <si>
    <t>2 bombonas Zio (82 e 79): 53,46Kg</t>
  </si>
  <si>
    <t>Yoshi (88 e 91) - 24,90Kg + Terra (73 e 76) - 33,40Kg + 
Cia do Shop (102) - 6,05Kg</t>
  </si>
  <si>
    <t xml:space="preserve">Cia do chopp (bombona 104): 23,90kg + ZIO (bombonas 76 e 78): 40,9kg + 
TERRA (bombonas 75 e 74): 17,1kg </t>
  </si>
  <si>
    <t>Zio – Bombona nº 81: 22 kg + Terra – Bombona nº 73: 3,850 kg
Terra – Bombona nº (outra bombona): 17,150 kg</t>
  </si>
  <si>
    <t>ZIO (Bombona 91, 82, 75): 103,30kg</t>
  </si>
  <si>
    <t xml:space="preserve">3 Cia do chopp (101, 119, 120): 32,55kg + 
TERRA (bombobas 76, 93, 94): 35,65kg +
YOSHI (bombonas 78, 86): 34,6kg </t>
  </si>
  <si>
    <t>yoshi (81 e 79) - 63,08 + Cia (102) - 39,20Kg</t>
  </si>
  <si>
    <t>3 bombona</t>
  </si>
  <si>
    <t>2 Terra (71,76): 38,15Kg + 2 Cia do Chopp (103, 101): 19Kg</t>
  </si>
  <si>
    <t>1 Gabriel Bacelar (99): 39Kg + 2 Zio (80, 87): 37,60Kg</t>
  </si>
  <si>
    <t>ZIO (bombonas 81, 73): 63,45kg</t>
  </si>
  <si>
    <t>- 1 Cia do Chopp (119): 11,87Kg +  1 Zio (79): 36,78Kg
+ 3 Terra (71, 73, 74):60,05Kg</t>
  </si>
  <si>
    <t>- 2 Yoshi( 88, 91): 50,98 + - 3 Terra (2-75, 76): 49,10</t>
  </si>
  <si>
    <t>- 3 Yoshi (83, 85, 87)</t>
  </si>
  <si>
    <t>ZIO (bombona 80): 35,60kg + Cia do chopp (bombona 99): 34,35kg</t>
  </si>
  <si>
    <t>Zio (79): 22,550 kg + Yoshi (86): 21,758 kg + Terra:
Bombona 71: 13,540 kg + ombona 72: 24,050 kg</t>
  </si>
  <si>
    <t>Zio N• 78 peso 38 kg + Cia do Chopp N• 102 peso 18,50 kg
N• 103 peso 11,65 kg + 20kg brulle</t>
  </si>
  <si>
    <t>1 Zio (80) - 22,80Kg + 1 Yoshi (88) - 18,98Kg + 2 bombonas Terra (73 e 75) - 41,23Kg</t>
  </si>
  <si>
    <t>Yoshi (bombonas 85 e 91): 26,15kg + Cia do chopp (bombonas 101 e 120): 55,2kg</t>
  </si>
  <si>
    <t>Terra (bombonas 71 e 78): 26,85kg</t>
  </si>
  <si>
    <t>1 Zio (78): 21,08Kg + 1 Yoshi (87): 15,17</t>
  </si>
  <si>
    <t xml:space="preserve">4 Yoshi (84,85, 86 e 91): </t>
  </si>
  <si>
    <t>2 Zio (79, 82)</t>
  </si>
  <si>
    <t>1 Brullee (93): 24,20Kg + 2 Terra ( 2-76): 42,48Kg</t>
  </si>
  <si>
    <t>6 bombonas Terra (71, 72, 73, 75, 74,,77)</t>
  </si>
  <si>
    <t xml:space="preserve">5 Cia do Chopp (82,102,119,101 e 120): </t>
  </si>
  <si>
    <t>- 2 Zio (80 e 81): 35,30Kg + - 1 Yoshi (88): 37,67Kg</t>
  </si>
  <si>
    <t>Yoshi (79) – 12,500 kg + Zio (81 e 82) - 54,98Kg</t>
  </si>
  <si>
    <t>1 Terra (75): 23,18Kg + 1 Zio (78): 31,89Kg</t>
  </si>
  <si>
    <t>Yoshi (bombonas 88, 83, 86): 50,65kg + Brûllēe (bombona 95): 20,10 +
Cia do chopp (bombonas 100, 120, 101, 119): 31,95</t>
  </si>
  <si>
    <t>Terra (bombonas 74, 75, 76, 76, 75): 73,30 + Zio (78 e 80): 29,90</t>
  </si>
  <si>
    <t>ZIO (bombonas  85, 79, 81): 109,80kg</t>
  </si>
  <si>
    <t>- 2 Bombonas Terra (74 e 77): 40,86Kg + 1 bombona Zio (91): 14,05</t>
  </si>
  <si>
    <t>5 bombonas - 1 terra (9,1) + 1 cia do chopp (26,9)+ 1 Brulee (17,9) + 3 yoshi (54,45)</t>
  </si>
  <si>
    <t>2 bombonas Zio (57,05)</t>
  </si>
  <si>
    <t>1 bombona Brulee (97): 26,30Kg + 2 bombonas Terra (73 e 77): 43,98Kg + 1 bombona Zio (80): 30,77Kg</t>
  </si>
  <si>
    <t>5 bombonas ZIO (82, 78, 79, 80, 82): 126,80 kg</t>
  </si>
  <si>
    <t>4 bombonas Cia do Chopp (102, 120, 103): 20,25 kg + 5 bombonas
Yoshi (85, 88, 91, 94, 84): 78,65 kg</t>
  </si>
  <si>
    <t>4 bombonas Terra ( 74, 77, 75, 75)</t>
  </si>
  <si>
    <t>3 bombonas Terra (2-76 e 77)</t>
  </si>
  <si>
    <t>2 Zio (80 e 81): 67,89Kg + 1 Terra (74): 18,78Kg</t>
  </si>
  <si>
    <t xml:space="preserve">5 bombonas terra </t>
  </si>
  <si>
    <t>3 bombonas Cia do Chopp (60,33) e 2 bombonas Yoshi (40,01)</t>
  </si>
  <si>
    <t>2 Zio (79 e 90): 76,20 + 1 Cia do Chopp (101): 25,01</t>
  </si>
  <si>
    <t>1 bombona Brulee (97): 30,75 Kg + 1 bombona Zio (82): 27,65 Kg+
1 bombona Cia do chopp (105): 40,20 Kg</t>
  </si>
  <si>
    <t>ZIO (bombonas 74, 88, 91 e 90)</t>
  </si>
  <si>
    <t>Terra (bombonas 71, 75, 73, 75 e 74): 88,55 kg</t>
  </si>
  <si>
    <t>Cia do Chopp (103 e 119): 21,40 + Yoshi (81): 25,55 + Zio (53,05)</t>
  </si>
  <si>
    <t>2 Zio (79 e 97): 50,21Kg + 2 Terra (76 e 77): 49,23Kg</t>
  </si>
  <si>
    <t xml:space="preserve">
1 Bombona Zio (81): 41,20 + 1 Bombona Yoshi (86): 41,09 + 1 Bombonas Cia (102): 19,48</t>
  </si>
  <si>
    <t xml:space="preserve">Brûllēe (96): 26,80 + Zio (87): 32,50 
</t>
  </si>
  <si>
    <t>Terra (77): 24,40 + Yoshi (bombonas 84, 90 e 85): 68,05</t>
  </si>
  <si>
    <t>2 Yoshi (83 e 88): 58,78</t>
  </si>
  <si>
    <t xml:space="preserve">2 Zio (93 e 94): 65,98 </t>
  </si>
  <si>
    <t>2 Terra (76 e 77)</t>
  </si>
  <si>
    <t>3 bombonas gabriel bacelar</t>
  </si>
  <si>
    <t>5 bombonas Terra</t>
  </si>
  <si>
    <t>2 bombonas Cia (102 e 103): 49,2 + 2 bombonas Zio (51,77)</t>
  </si>
  <si>
    <t>5 bombonas yoshi</t>
  </si>
  <si>
    <t>5 bombonas Terra (80,65) + 1 Yoshi (86): 19,06</t>
  </si>
  <si>
    <t>3 bombonas Zio (85,43) + 1 Yoshi (84): 19,53</t>
  </si>
  <si>
    <t>2 bombonas Cia (101 e 98): 39,2 + 1 Brulee: 27,58 + 1 Yoshi (90): 37,56</t>
  </si>
  <si>
    <t>5 bombonas Cia do Chopp</t>
  </si>
  <si>
    <t>ZIO(90 e 93): 40,85kg + Terra (80 e 82): 38,30kg</t>
  </si>
  <si>
    <t xml:space="preserve">3 bombonas Cia do chopp </t>
  </si>
  <si>
    <t xml:space="preserve">4 bombonas Yoshi </t>
  </si>
  <si>
    <t>2 bombonas Zio (85 e 77): 33,01Kg + 2 bombonas Terra (71 e 73): 72,78Kg</t>
  </si>
  <si>
    <t>3 bombonas Terra (73,75 e 77)</t>
  </si>
  <si>
    <t>2 bombonas Zio (83 e 85): 52,78 + 1 bombonas Cia do Chopp (92 e 91): 55,40Kg</t>
  </si>
  <si>
    <t>3 bombonas Yoshi</t>
  </si>
  <si>
    <t>2 bombonas Cia do chopp: 19,05 + 1 yoshi: 42,6 + 1 zio: 32,8</t>
  </si>
  <si>
    <t>2 bombonas Brulee: 61,33 + 1 bombona terra: 23,8 + 1 zio: 4,66</t>
  </si>
  <si>
    <t>1 bombona Gabriel Bacelar (19): 18,78 +
2 bombonas Cia do Chopp (100 e 90): 27,59</t>
  </si>
  <si>
    <t xml:space="preserve">2 bombonas Zio (82 e 98): 67,08 </t>
  </si>
  <si>
    <t>3 bombonas Brulee</t>
  </si>
  <si>
    <t>Terra (bombona 82): 24,60 + ZIO (bombonas 84 e 96): 58,25kg</t>
  </si>
  <si>
    <t>2 bombonas terra : 30,25kg + 2 bombonas Yoshi: 31,65</t>
  </si>
  <si>
    <t>Cia 11,25 + Zio 6,150 / 18,65 + Terra 10,15 + Yoshi 28,35</t>
  </si>
  <si>
    <t>2 bombonas: 102 e 104</t>
  </si>
  <si>
    <t>4 bombonas: 88, 90, 77 e 79</t>
  </si>
  <si>
    <t>4 bombonas: 71, 73, 74 e 76</t>
  </si>
  <si>
    <t xml:space="preserve">4 bombonas - 1 cia = 27 + 1 Terra (96) = 7,65 + 2 Zio (79 e 80) = 59,75 </t>
  </si>
  <si>
    <t>3 bombonas Zio (81,83 e 84)</t>
  </si>
  <si>
    <t>4 bombonas - 2 cia = 55,7 + 2 Zio (90 e 83) =33,65</t>
  </si>
  <si>
    <t>4 bombonas - 1 Zio (82) = 25,2 + 2 Yoshi (85 e 88) = 50,70 + 1 Cia (119) = 22,30</t>
  </si>
  <si>
    <t xml:space="preserve">7 bombonas - 6 terra (75,2-71,2-77,73) = 70,45 + 1 Zio (78) =7,75 </t>
  </si>
  <si>
    <t>2 bombonas antigas (07 e 21)</t>
  </si>
  <si>
    <t>4 bombonas Terra - 2-71, 73 e 74</t>
  </si>
  <si>
    <t>4 bombonas - 3 yoshi = 72,70 + 1 Brulee = 27,30</t>
  </si>
  <si>
    <t>4 bombonas - 3 Zio = 72,7 + 1 cia = 22,65</t>
  </si>
  <si>
    <t>6 bombonas - 4 Terra = 62,8 + 2 Yoshi = 41,70</t>
  </si>
  <si>
    <t>3 bombonas Zio</t>
  </si>
  <si>
    <t>4 bombonas Terra =  91,35 + 1 yoshi = 13,85</t>
  </si>
  <si>
    <t>Origem dos Resíduos/n° da bombonas</t>
  </si>
  <si>
    <t>Peso</t>
  </si>
  <si>
    <t>Obs. (qtde de bombonas, tipo de resíduos)</t>
  </si>
  <si>
    <t>3 bombonas antigas</t>
  </si>
  <si>
    <t>5 bombonas - 3 Zio = 62,92 e 2 Terra = 39,68</t>
  </si>
  <si>
    <t>4 bombonas - 2 Yoshi = 61,9 + 2 Terra = 37,95</t>
  </si>
  <si>
    <t>4 bombonas Terra</t>
  </si>
  <si>
    <t>4 bombonas GB</t>
  </si>
  <si>
    <t>4 bombonas - 2 Terra = 36,20 e 2 Zio = 71,82</t>
  </si>
  <si>
    <t>6 bombonas - 2 Terra = 57,89 + 2 Zio= 28,36 + 1 Brulee = 18,76</t>
  </si>
  <si>
    <t>5 bombonas: 3 Terra - 77, 76, 73 = 52,8 + Yoshi - 83 e 85 = 50,55kg</t>
  </si>
  <si>
    <t>3 bombonas -  91, 81 e 78</t>
  </si>
  <si>
    <t>2 bombonas - 80 e 81</t>
  </si>
  <si>
    <t>3 bombonas Terra (77, 2-71) : 57,89 + 1 Brulee (93): 18,76Kg
2 bombonas Zio (2-74):28,36Kg</t>
  </si>
  <si>
    <t>5 bombonas : 2 GB (bombonas antigas): 32,6 + 2 brulee: 51,34 + 1 cia:31,42</t>
  </si>
  <si>
    <t>4 bombonas - 1 Brulle (22,33Kg)</t>
  </si>
  <si>
    <t>4 bombonas - 1 Brulee (12,02)</t>
  </si>
  <si>
    <t>4 bombonas - 2 GB (48,92Kg)</t>
  </si>
  <si>
    <t>5 bombonas - Dentre elas 2 GB (67,28Kg)</t>
  </si>
  <si>
    <t>5 bombonas -  Dentre elas 1 da cia (28,16Kg)</t>
  </si>
  <si>
    <t>5 bombonas - Dentre elas 1 da cia (25,20Kg)</t>
  </si>
  <si>
    <t>6 bombonas - Dentre elas 2 Brulle (37,89Kg)</t>
  </si>
  <si>
    <t>6 bombonas - Dentre elas 2 Brulle (47,9Kg)</t>
  </si>
  <si>
    <t>5 bombonas - Dentre elas 2 Brulle (27,89Kg)</t>
  </si>
  <si>
    <t>5 bombonas - 2 bombonas cia: 39,25Kg)</t>
  </si>
  <si>
    <t>5 bombonas - 2 Brulle (35,67Kg)</t>
  </si>
  <si>
    <t>4 bombonas - 2 Yoshi (62,03Kg)</t>
  </si>
  <si>
    <t>5 bombonas - 2 Terra (54,32Kg)</t>
  </si>
  <si>
    <t>- 2 Terra (71 e 72): 57,87Kg
- 2 Zio (78 e 83): 51,60Kg
- 1 Yoshi (85): 38,40Kg</t>
  </si>
  <si>
    <t>CX 25</t>
  </si>
  <si>
    <t>5 bombonas - Dentre elas 2 Brulle (27,59Kg)</t>
  </si>
  <si>
    <t>CX 26</t>
  </si>
  <si>
    <t>5 bombonas - 2 Brulle - 38,78</t>
  </si>
  <si>
    <t>4 bombonas - 1 GB - 18,98Kg</t>
  </si>
  <si>
    <t>- 2 Gabriel Bacelar (bombonas antigas 81 e 06): 43,56Kg
- 2 Cia (102 e 105): 38,90Kg
- 2 Zio (80 e 82): 65,78Kg</t>
  </si>
  <si>
    <t>4 bombonas - 1 GB (28,3Kg)</t>
  </si>
  <si>
    <t>3 bombonas: 2 Terra: 80Kg + 1 Brullee: 15Kg</t>
  </si>
  <si>
    <t>CX 24</t>
  </si>
  <si>
    <t>4 bombonas - 2 Terra (47) e 2 Bombonas zio (54)</t>
  </si>
  <si>
    <t>CX 23</t>
  </si>
  <si>
    <t>3 bombonas - 1 Cia (15)</t>
  </si>
  <si>
    <t>3 bombonas - 2 yoshi (65) + 1 cia (37)</t>
  </si>
  <si>
    <t>3 bombonas - 2 Gb (76) + 1 brulee (40)</t>
  </si>
  <si>
    <t>3 Terra (70) e 2 zio (53)</t>
  </si>
  <si>
    <t>6 bombonas - 4 bombonas Terra (57), 1 bombona cia (15) e 1 bombona zio (37)</t>
  </si>
  <si>
    <t>3 bombonas - 2 Yoshi (85) e 1 Cia (24)</t>
  </si>
  <si>
    <t>Local (destino)</t>
  </si>
  <si>
    <t>Composteira (origem)</t>
  </si>
  <si>
    <t>Destino do adubo</t>
  </si>
  <si>
    <t>Peso aproximado do adubo produzido (kg)</t>
  </si>
  <si>
    <t>Observações</t>
  </si>
  <si>
    <t>Equipe</t>
  </si>
  <si>
    <t>descanso</t>
  </si>
  <si>
    <t>leira 1</t>
  </si>
  <si>
    <t>leira 2</t>
  </si>
  <si>
    <t>leira 3</t>
  </si>
  <si>
    <t>leira 4</t>
  </si>
  <si>
    <t>bem seco e com pedaços de comida</t>
  </si>
  <si>
    <t>Com pedaços de embutidos</t>
  </si>
  <si>
    <t>Parreral de uva</t>
  </si>
  <si>
    <t>Com cheiro forte mas sem pedaços de comida</t>
  </si>
  <si>
    <t>Leira 1</t>
  </si>
  <si>
    <t>cheiro forte e ainda com pedaços</t>
  </si>
  <si>
    <t>Leira 2</t>
  </si>
  <si>
    <t>Molhado, cheiro forte e ainda com pedaços</t>
  </si>
  <si>
    <t>bem seco, com papel e algum residuos</t>
  </si>
  <si>
    <t>Parte final molhada com forte cheiro</t>
  </si>
  <si>
    <t>Muito papel e ossos</t>
  </si>
  <si>
    <t>Muito papel, o meio com uma parte de cuscuz</t>
  </si>
  <si>
    <t>Divisão boa entre secos e molhados</t>
  </si>
  <si>
    <t>Cheiro citrico, bastante galhos e umas partes com arroz e salsicha</t>
  </si>
  <si>
    <t>Muito papel e presença de barata, cheiro citrico</t>
  </si>
  <si>
    <t>Parte final com cheiro forte mas demais partes ja em estado avançado e quase terra (somente as laterais ainda com bastante galhos)</t>
  </si>
  <si>
    <t>Leira ou Caixa</t>
  </si>
  <si>
    <t>Temperatura</t>
  </si>
  <si>
    <t xml:space="preserve">visão </t>
  </si>
  <si>
    <t>olfato</t>
  </si>
  <si>
    <t>tato</t>
  </si>
  <si>
    <t>Espécie colheita</t>
  </si>
  <si>
    <t>N° do Canteiro</t>
  </si>
  <si>
    <t>Água Irrigação</t>
  </si>
  <si>
    <t>Água Leiras</t>
  </si>
  <si>
    <t>data</t>
  </si>
  <si>
    <t>leira</t>
  </si>
  <si>
    <t>Tempo de uso do Jato</t>
  </si>
  <si>
    <t>Uso do trator (qual trator)?; se foi na mão, como foi? Quantas pessoas?</t>
  </si>
  <si>
    <t>Locais com fungos aparentes (branco), com pontos variando entre seco e molhado. Baratas pequenas e outros animais andando por todas as seções</t>
  </si>
  <si>
    <t>Cheiro de terra, agua e citrico</t>
  </si>
  <si>
    <t>Quente em todas as seções, as primeiras estão mais asperas e as ultimas mais umidas</t>
  </si>
  <si>
    <t xml:space="preserve">Início </t>
  </si>
  <si>
    <t>Seco</t>
  </si>
  <si>
    <t>Fim</t>
  </si>
  <si>
    <t>Cheiro citrico</t>
  </si>
  <si>
    <t>Poda bem quente e com pouca umidade</t>
  </si>
  <si>
    <t>Locais com fungos aparentes (branco), com pontos variando entre seco e molhado. Baratas pequenas e outros animais andando por todas as seções. Presença de passaros em cima da lona</t>
  </si>
  <si>
    <t>Alguns locais com mais calor que outros, assim como a umidade. Vapor de água presente quando aperta o adubo mas ainda não esta todo homegeo</t>
  </si>
  <si>
    <t>Seco, com buracos dos cachorros</t>
  </si>
  <si>
    <t>Cheiro Citrico e madeira</t>
  </si>
  <si>
    <t>Centro bem quente, não se tem uma homegenidade entre poda e residuos por ser o inicio</t>
  </si>
  <si>
    <t>Locais com fungos aparentes (branco),  molhado. Baratas pequenas e outros animais andando por todas as seções</t>
  </si>
  <si>
    <t>Quente em todas as seções,sendo a primeira com menos calor e tamanho diminuindo de forma rapida</t>
  </si>
  <si>
    <t>Seca, quente mas ainda sem a presença de microorganismo visiveis</t>
  </si>
  <si>
    <t>SUM de Peso (kg)</t>
  </si>
  <si>
    <t>Total geral</t>
  </si>
  <si>
    <t>DATA</t>
  </si>
  <si>
    <t>TEMP. (°C)</t>
  </si>
  <si>
    <t>Peso por alimentação</t>
  </si>
  <si>
    <t>Peso acumulado</t>
  </si>
  <si>
    <t>Matéria SECA (carros de mão)</t>
  </si>
  <si>
    <t>4 carros cobertura e 3 para paredes</t>
  </si>
  <si>
    <t>6 carros cobertura e 2 para paredes</t>
  </si>
  <si>
    <t>8 carros cobertura</t>
  </si>
  <si>
    <t>4 carros cobertura e 2 para paredes</t>
  </si>
  <si>
    <t>5 carros cobertura e 2 para paredes</t>
  </si>
  <si>
    <t xml:space="preserve">4 carros cobertura </t>
  </si>
  <si>
    <t>5 carros cobertura</t>
  </si>
  <si>
    <t>4 carros cobertura</t>
  </si>
  <si>
    <t>2 carros cobertura</t>
  </si>
  <si>
    <t>12 carros cobertura</t>
  </si>
  <si>
    <t>6 carros cobertura</t>
  </si>
  <si>
    <t>5 carros cobertura e 3 para paredes</t>
  </si>
  <si>
    <t>3 carros cobertura e 3 para paredes</t>
  </si>
  <si>
    <t>3 carros cobertura</t>
  </si>
  <si>
    <t>3 carros cobertura e 2 para paredes</t>
  </si>
  <si>
    <t>2 carros cobertura e 2 para paredes</t>
  </si>
  <si>
    <t>6 carros cobertura e 3 para paredes</t>
  </si>
  <si>
    <t>5 carros cobertura (lateral feita com poda do caminho)</t>
  </si>
  <si>
    <t>3 carros cobertura (lateral feita com poda do caminho)</t>
  </si>
  <si>
    <t>6 carros cobertura (lateral feita com poda do caminho)</t>
  </si>
  <si>
    <t>4 carros cobertura (lateral feita com poda do caminho)</t>
  </si>
  <si>
    <t>8 carros cobertura (lateral feita com poda do caminho)</t>
  </si>
  <si>
    <t>9 carros de poda</t>
  </si>
  <si>
    <t>6 carros de poda</t>
  </si>
  <si>
    <t>8 carros de poda (lateral feita com poda do caminho)</t>
  </si>
  <si>
    <t>4 carros de poda</t>
  </si>
  <si>
    <t>12 carros de poda</t>
  </si>
  <si>
    <t>13 carros de poda</t>
  </si>
  <si>
    <t>10 carros de poda</t>
  </si>
  <si>
    <t>8 carros de poda</t>
  </si>
  <si>
    <t>7 carros de poda</t>
  </si>
  <si>
    <t>5 carros de poda</t>
  </si>
  <si>
    <t>2 carros de poda</t>
  </si>
  <si>
    <t>3 carros de poda</t>
  </si>
  <si>
    <t>15 carros de poda</t>
  </si>
  <si>
    <t>1 carro de poda</t>
  </si>
  <si>
    <t>6 Carros de Poda</t>
  </si>
  <si>
    <t>2 Carros de Poda</t>
  </si>
  <si>
    <t>1 carros de poda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</si>
</sst>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#,##0.000"/>
    <numFmt numFmtId="166" formatCode="d/m/yyyy"/>
    <numFmt numFmtId="167" formatCode="dd/mm/yyyy"/>
    <numFmt numFmtId="168" formatCode="d/m"/>
    <numFmt numFmtId="169" formatCode="dd/mm"/>
    <numFmt numFmtId="170" formatCode="mmmm/d"/>
    <numFmt numFmtId="171" formatCode="dd/mm/yy"/>
    <numFmt numFmtId="172" formatCode="d/m/yy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color rgb="FF000000"/>
      <name val="&quot;Arial&quot;"/>
    </font>
    <font>
      <b/>
      <color theme="1"/>
      <name val="Arial"/>
      <scheme val="minor"/>
    </font>
    <font>
      <sz val="12.0"/>
      <color rgb="FF000000"/>
      <name val="'Times New Roman'"/>
    </font>
    <font>
      <sz val="13.0"/>
      <color rgb="FF000000"/>
      <name val="'Times New Roman'"/>
    </font>
    <font>
      <b/>
      <sz val="14.0"/>
      <color theme="1"/>
      <name val="Arial"/>
      <scheme val="minor"/>
    </font>
    <font>
      <b/>
      <color rgb="FF000000"/>
      <name val="&quot;Arial&quot;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4" xfId="0" applyAlignment="1" applyFont="1" applyNumberFormat="1">
      <alignment horizontal="right" shrinkToFit="0" vertical="top" wrapText="1"/>
    </xf>
    <xf borderId="0" fillId="0" fontId="1" numFmtId="1" xfId="0" applyAlignment="1" applyFont="1" applyNumberFormat="1">
      <alignment horizontal="right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horizontal="right" readingOrder="0"/>
    </xf>
    <xf borderId="0" fillId="2" fontId="4" numFmtId="0" xfId="0" applyAlignment="1" applyFill="1" applyFont="1">
      <alignment horizontal="right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2" numFmtId="167" xfId="0" applyAlignment="1" applyFont="1" applyNumberFormat="1">
      <alignment readingOrder="0"/>
    </xf>
    <xf borderId="0" fillId="0" fontId="5" numFmtId="4" xfId="0" applyAlignment="1" applyFont="1" applyNumberFormat="1">
      <alignment horizontal="right" readingOrder="0"/>
    </xf>
    <xf borderId="0" fillId="0" fontId="3" numFmtId="166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2" fontId="4" numFmtId="4" xfId="0" applyAlignment="1" applyFont="1" applyNumberFormat="1">
      <alignment horizontal="right" readingOrder="0"/>
    </xf>
    <xf borderId="1" fillId="3" fontId="6" numFmtId="0" xfId="0" applyAlignment="1" applyBorder="1" applyFill="1" applyFont="1">
      <alignment horizontal="center" readingOrder="0" vertical="center"/>
    </xf>
    <xf borderId="1" fillId="3" fontId="6" numFmtId="165" xfId="0" applyAlignment="1" applyBorder="1" applyFont="1" applyNumberFormat="1">
      <alignment horizontal="center" readingOrder="0" vertical="center"/>
    </xf>
    <xf borderId="1" fillId="3" fontId="6" numFmtId="165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1" fillId="0" fontId="3" numFmtId="164" xfId="0" applyAlignment="1" applyBorder="1" applyFont="1" applyNumberFormat="1">
      <alignment horizontal="right" vertical="bottom"/>
    </xf>
    <xf borderId="1" fillId="0" fontId="3" numFmtId="4" xfId="0" applyAlignment="1" applyBorder="1" applyFont="1" applyNumberFormat="1">
      <alignment horizontal="right" vertical="bottom"/>
    </xf>
    <xf borderId="1" fillId="0" fontId="2" numFmtId="4" xfId="0" applyAlignment="1" applyBorder="1" applyFont="1" applyNumberFormat="1">
      <alignment horizontal="right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/>
    </xf>
    <xf borderId="1" fillId="0" fontId="2" numFmtId="0" xfId="0" applyBorder="1" applyFont="1"/>
    <xf borderId="1" fillId="0" fontId="2" numFmtId="2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horizontal="right" readingOrder="0" vertical="bottom"/>
    </xf>
    <xf borderId="1" fillId="0" fontId="3" numFmtId="4" xfId="0" applyAlignment="1" applyBorder="1" applyFont="1" applyNumberFormat="1">
      <alignment horizontal="right" readingOrder="0" vertical="bottom"/>
    </xf>
    <xf borderId="0" fillId="2" fontId="4" numFmtId="0" xfId="0" applyAlignment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2" fontId="2" numFmtId="4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readingOrder="0"/>
    </xf>
    <xf borderId="1" fillId="0" fontId="2" numFmtId="168" xfId="0" applyAlignment="1" applyBorder="1" applyFont="1" applyNumberFormat="1">
      <alignment readingOrder="0"/>
    </xf>
    <xf borderId="1" fillId="0" fontId="2" numFmtId="4" xfId="0" applyBorder="1" applyFont="1" applyNumberFormat="1"/>
    <xf borderId="1" fillId="0" fontId="2" numFmtId="164" xfId="0" applyBorder="1" applyFont="1" applyNumberFormat="1"/>
    <xf borderId="1" fillId="0" fontId="5" numFmtId="4" xfId="0" applyAlignment="1" applyBorder="1" applyFont="1" applyNumberFormat="1">
      <alignment horizontal="right"/>
    </xf>
    <xf borderId="1" fillId="0" fontId="5" numFmtId="4" xfId="0" applyAlignment="1" applyBorder="1" applyFont="1" applyNumberFormat="1">
      <alignment horizontal="right" readingOrder="0"/>
    </xf>
    <xf borderId="1" fillId="0" fontId="2" numFmtId="4" xfId="0" applyAlignment="1" applyBorder="1" applyFont="1" applyNumberFormat="1">
      <alignment horizontal="right" readingOrder="0"/>
    </xf>
    <xf borderId="1" fillId="2" fontId="4" numFmtId="4" xfId="0" applyAlignment="1" applyBorder="1" applyFont="1" applyNumberFormat="1">
      <alignment horizontal="right" readingOrder="0"/>
    </xf>
    <xf borderId="1" fillId="0" fontId="2" numFmtId="164" xfId="0" applyAlignment="1" applyBorder="1" applyFont="1" applyNumberFormat="1">
      <alignment horizontal="right" readingOrder="0"/>
    </xf>
    <xf borderId="1" fillId="2" fontId="4" numFmtId="0" xfId="0" applyAlignment="1" applyBorder="1" applyFont="1">
      <alignment horizontal="right" readingOrder="0"/>
    </xf>
    <xf borderId="1" fillId="0" fontId="2" numFmtId="167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169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right" readingOrder="0" vertical="center"/>
    </xf>
    <xf borderId="1" fillId="0" fontId="2" numFmtId="4" xfId="0" applyAlignment="1" applyBorder="1" applyFont="1" applyNumberFormat="1">
      <alignment horizontal="right" readingOrder="0" vertical="center"/>
    </xf>
    <xf borderId="1" fillId="2" fontId="4" numFmtId="4" xfId="0" applyAlignment="1" applyBorder="1" applyFont="1" applyNumberFormat="1">
      <alignment horizontal="right" readingOrder="0" vertical="center"/>
    </xf>
    <xf borderId="1" fillId="0" fontId="2" numFmtId="167" xfId="0" applyAlignment="1" applyBorder="1" applyFont="1" applyNumberFormat="1">
      <alignment horizontal="right" readingOrder="0" vertical="center"/>
    </xf>
    <xf borderId="1" fillId="0" fontId="2" numFmtId="167" xfId="0" applyAlignment="1" applyBorder="1" applyFont="1" applyNumberFormat="1">
      <alignment horizontal="right" readingOrder="0"/>
    </xf>
    <xf borderId="1" fillId="0" fontId="5" numFmtId="4" xfId="0" applyAlignment="1" applyBorder="1" applyFont="1" applyNumberFormat="1">
      <alignment readingOrder="0"/>
    </xf>
    <xf borderId="0" fillId="0" fontId="2" numFmtId="0" xfId="0" applyAlignment="1" applyFont="1">
      <alignment horizontal="left" readingOrder="0" shrinkToFit="0" wrapText="1"/>
    </xf>
    <xf borderId="1" fillId="0" fontId="2" numFmtId="2" xfId="0" applyBorder="1" applyFont="1" applyNumberFormat="1"/>
    <xf borderId="0" fillId="0" fontId="5" numFmtId="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7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1" fillId="4" fontId="6" numFmtId="0" xfId="0" applyAlignment="1" applyBorder="1" applyFill="1" applyFont="1">
      <alignment horizontal="center" readingOrder="0" vertical="center"/>
    </xf>
    <xf borderId="1" fillId="4" fontId="6" numFmtId="165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1" fillId="0" fontId="2" numFmtId="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/>
    </xf>
    <xf borderId="0" fillId="0" fontId="2" numFmtId="4" xfId="0" applyFont="1" applyNumberFormat="1"/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2" numFmtId="170" xfId="0" applyAlignment="1" applyBorder="1" applyFont="1" applyNumberFormat="1">
      <alignment horizontal="center" readingOrder="0"/>
    </xf>
    <xf borderId="1" fillId="0" fontId="6" numFmtId="4" xfId="0" applyAlignment="1" applyBorder="1" applyFont="1" applyNumberFormat="1">
      <alignment shrinkToFit="0" wrapText="1"/>
    </xf>
    <xf borderId="1" fillId="0" fontId="1" numFmtId="4" xfId="0" applyAlignment="1" applyBorder="1" applyFont="1" applyNumberFormat="1">
      <alignment horizontal="right" readingOrder="0" vertical="bottom"/>
    </xf>
    <xf borderId="0" fillId="0" fontId="2" numFmtId="4" xfId="0" applyAlignment="1" applyFont="1" applyNumberFormat="1">
      <alignment readingOrder="0" shrinkToFit="0" wrapText="1"/>
    </xf>
    <xf borderId="0" fillId="0" fontId="7" numFmtId="4" xfId="0" applyAlignment="1" applyFont="1" applyNumberFormat="1">
      <alignment horizontal="left" readingOrder="0" shrinkToFit="0" wrapText="1"/>
    </xf>
    <xf borderId="0" fillId="0" fontId="8" numFmtId="4" xfId="0" applyAlignment="1" applyFont="1" applyNumberForma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1" fillId="0" fontId="6" numFmtId="0" xfId="0" applyAlignment="1" applyBorder="1" applyFont="1">
      <alignment horizontal="right" shrinkToFit="0" wrapText="1"/>
    </xf>
    <xf borderId="0" fillId="0" fontId="1" numFmtId="4" xfId="0" applyAlignment="1" applyFont="1" applyNumberFormat="1">
      <alignment readingOrder="0" shrinkToFit="0" vertical="top" wrapText="1"/>
    </xf>
    <xf borderId="0" fillId="0" fontId="6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readingOrder="0" vertical="bottom"/>
    </xf>
    <xf borderId="0" fillId="0" fontId="1" numFmtId="4" xfId="0" applyAlignment="1" applyFont="1" applyNumberFormat="1">
      <alignment horizontal="right" readingOrder="0" vertical="bottom"/>
    </xf>
    <xf borderId="0" fillId="0" fontId="6" numFmtId="4" xfId="0" applyAlignment="1" applyFont="1" applyNumberFormat="1">
      <alignment horizontal="right" readingOrder="0" shrinkToFit="0" wrapText="1"/>
    </xf>
    <xf borderId="0" fillId="0" fontId="6" numFmtId="4" xfId="0" applyAlignment="1" applyFont="1" applyNumberFormat="1">
      <alignment horizontal="right" readingOrder="0"/>
    </xf>
    <xf borderId="0" fillId="0" fontId="6" numFmtId="164" xfId="0" applyAlignment="1" applyFont="1" applyNumberFormat="1">
      <alignment readingOrder="0"/>
    </xf>
    <xf borderId="0" fillId="0" fontId="2" numFmtId="4" xfId="0" applyAlignment="1" applyFont="1" applyNumberFormat="1">
      <alignment horizontal="right"/>
    </xf>
    <xf borderId="0" fillId="0" fontId="6" numFmtId="166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  <xf borderId="0" fillId="0" fontId="6" numFmtId="4" xfId="0" applyAlignment="1" applyFont="1" applyNumberFormat="1">
      <alignment readingOrder="0"/>
    </xf>
    <xf borderId="0" fillId="0" fontId="9" numFmtId="0" xfId="0" applyAlignment="1" applyFont="1">
      <alignment horizontal="center" readingOrder="0"/>
    </xf>
    <xf borderId="0" fillId="0" fontId="2" numFmtId="164" xfId="0" applyFont="1" applyNumberFormat="1"/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1" fillId="0" fontId="2" numFmtId="171" xfId="0" applyAlignment="1" applyBorder="1" applyFont="1" applyNumberFormat="1">
      <alignment readingOrder="0"/>
    </xf>
    <xf borderId="1" fillId="0" fontId="10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4" fillId="0" fontId="11" numFmtId="0" xfId="0" applyBorder="1" applyFont="1"/>
    <xf borderId="0" fillId="0" fontId="6" numFmtId="0" xfId="0" applyFont="1"/>
    <xf borderId="2" fillId="0" fontId="6" numFmtId="0" xfId="0" applyAlignment="1" applyBorder="1" applyFont="1">
      <alignment horizontal="center" readingOrder="0" shrinkToFit="0" vertical="center" wrapText="1"/>
    </xf>
    <xf borderId="0" fillId="0" fontId="2" numFmtId="172" xfId="0" applyAlignment="1" applyFont="1" applyNumberFormat="1">
      <alignment readingOrder="0"/>
    </xf>
    <xf borderId="5" fillId="0" fontId="11" numFmtId="0" xfId="0" applyBorder="1" applyFon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2" fontId="4" numFmtId="164" xfId="0" applyAlignment="1" applyFont="1" applyNumberFormat="1">
      <alignment horizontal="left" readingOrder="0"/>
    </xf>
    <xf borderId="0" fillId="4" fontId="3" numFmtId="0" xfId="0" applyAlignment="1" applyFont="1">
      <alignment horizontal="center" readingOrder="0" vertical="center"/>
    </xf>
    <xf borderId="1" fillId="4" fontId="3" numFmtId="164" xfId="0" applyAlignment="1" applyBorder="1" applyFont="1" applyNumberFormat="1">
      <alignment horizontal="center" readingOrder="0" vertical="center"/>
    </xf>
    <xf borderId="1" fillId="4" fontId="2" numFmtId="4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readingOrder="0" shrinkToFit="0" wrapText="1"/>
    </xf>
    <xf borderId="0" fillId="0" fontId="2" numFmtId="167" xfId="0" applyFont="1" applyNumberFormat="1"/>
    <xf borderId="0" fillId="0" fontId="3" numFmtId="166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Peso por Leira (kg)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'peso x leira'!$B$1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'peso x leira'!$A$2:$A$5</c:f>
            </c:strRef>
          </c:cat>
          <c:val>
            <c:numRef>
              <c:f>'peso x leira'!$B$2:$B$5</c:f>
              <c:numCache/>
            </c:numRef>
          </c:val>
        </c:ser>
        <c:axId val="1072972785"/>
        <c:axId val="2016054998"/>
      </c:barChart>
      <c:catAx>
        <c:axId val="1072972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Leira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054998"/>
      </c:catAx>
      <c:valAx>
        <c:axId val="20160549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972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Peso  (resíduos compostados em kg)  versus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'Peso por mês'!$B$1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'Peso por mês'!$A$2:$A$40</c:f>
            </c:strRef>
          </c:cat>
          <c:val>
            <c:numRef>
              <c:f>'Peso por mês'!$B$2:$B$40</c:f>
              <c:numCache/>
            </c:numRef>
          </c:val>
        </c:ser>
        <c:axId val="1254145191"/>
        <c:axId val="1748558442"/>
      </c:barChart>
      <c:catAx>
        <c:axId val="1254145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558442"/>
      </c:catAx>
      <c:valAx>
        <c:axId val="1748558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Peso  (resíduos compostados em kg)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145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1C - DATA x TEMP. (°C)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8"/>
            <c:marker>
              <c:symbol val="none"/>
            </c:marker>
          </c:dPt>
          <c:cat>
            <c:strRef>
              <c:f>'Gráficos Temperaturas'!$T$5:$T$75</c:f>
            </c:strRef>
          </c:cat>
          <c:val>
            <c:numRef>
              <c:f>'Gráficos Temperaturas'!$U$5:$U$75</c:f>
              <c:numCache/>
            </c:numRef>
          </c:val>
          <c:smooth val="1"/>
        </c:ser>
        <c:axId val="466538434"/>
        <c:axId val="1326800001"/>
      </c:lineChart>
      <c:catAx>
        <c:axId val="466538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800001"/>
      </c:catAx>
      <c:valAx>
        <c:axId val="1326800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TEMP.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5384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1D - DATA x TEMP. (°C)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26"/>
            <c:marker>
              <c:symbol val="none"/>
            </c:marker>
          </c:dPt>
          <c:cat>
            <c:strRef>
              <c:f>'Gráficos Temperaturas'!$AC$5:$AC$73</c:f>
            </c:strRef>
          </c:cat>
          <c:val>
            <c:numRef>
              <c:f>'Gráficos Temperaturas'!$AD$5:$AD$73</c:f>
              <c:numCache/>
            </c:numRef>
          </c:val>
          <c:smooth val="1"/>
        </c:ser>
        <c:axId val="1309141369"/>
        <c:axId val="604504185"/>
      </c:lineChart>
      <c:catAx>
        <c:axId val="1309141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504185"/>
      </c:catAx>
      <c:valAx>
        <c:axId val="604504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TEMP.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1413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2A - DATA x TEMP. (°C)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'Gráficos Temperaturas'!$AL$5:$AL$29</c:f>
            </c:strRef>
          </c:cat>
          <c:val>
            <c:numRef>
              <c:f>'Gráficos Temperaturas'!$AM$5:$AM$29</c:f>
              <c:numCache/>
            </c:numRef>
          </c:val>
          <c:smooth val="1"/>
        </c:ser>
        <c:axId val="897380795"/>
        <c:axId val="1785194928"/>
      </c:lineChart>
      <c:catAx>
        <c:axId val="897380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194928"/>
      </c:catAx>
      <c:valAx>
        <c:axId val="1785194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TEMP.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380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2B- DATA x TEMP. (°C)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'Gráficos Temperaturas'!$AU$4:$AU$23</c:f>
            </c:strRef>
          </c:cat>
          <c:val>
            <c:numRef>
              <c:f>'Gráficos Temperaturas'!$AV$4:$AV$23</c:f>
              <c:numCache/>
            </c:numRef>
          </c:val>
          <c:smooth val="1"/>
        </c:ser>
        <c:axId val="1927060120"/>
        <c:axId val="1296183968"/>
      </c:lineChart>
      <c:catAx>
        <c:axId val="1927060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183968"/>
      </c:catAx>
      <c:valAx>
        <c:axId val="1296183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TEMP.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0601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2C- DATA x TEMP. (°C)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'Gráficos Temperaturas'!$BD$5:$BD$23</c:f>
            </c:strRef>
          </c:cat>
          <c:val>
            <c:numRef>
              <c:f>'Gráficos Temperaturas'!$BE$5:$BE$23</c:f>
              <c:numCache/>
            </c:numRef>
          </c:val>
          <c:smooth val="1"/>
        </c:ser>
        <c:axId val="216627591"/>
        <c:axId val="425731464"/>
      </c:lineChart>
      <c:catAx>
        <c:axId val="216627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731464"/>
      </c:catAx>
      <c:valAx>
        <c:axId val="425731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TEMP.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627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Peso (kg) versus Destino do resíduo / leira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'Peso total por seção'!$A$3:$A$14</c:f>
            </c:strRef>
          </c:cat>
          <c:val>
            <c:numRef>
              <c:f>'Peso total por seção'!$B$3:$B$14</c:f>
              <c:numCache/>
            </c:numRef>
          </c:val>
        </c:ser>
        <c:axId val="788977246"/>
        <c:axId val="1663859578"/>
      </c:barChart>
      <c:catAx>
        <c:axId val="7889772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Destino do resíduo / leira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859578"/>
      </c:catAx>
      <c:valAx>
        <c:axId val="16638595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Peso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89772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6.png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114300</xdr:rowOff>
    </xdr:from>
    <xdr:ext cx="19383375" cy="9772650"/>
    <xdr:pic>
      <xdr:nvPicPr>
        <xdr:cNvPr id="11374880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552450</xdr:colOff>
      <xdr:row>64</xdr:row>
      <xdr:rowOff>123825</xdr:rowOff>
    </xdr:from>
    <xdr:ext cx="16030575" cy="8086725"/>
    <xdr:pic>
      <xdr:nvPicPr>
        <xdr:cNvPr id="1800505354" name="Chart1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</xdr:row>
      <xdr:rowOff>19050</xdr:rowOff>
    </xdr:from>
    <xdr:ext cx="7791450" cy="48101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619125</xdr:colOff>
      <xdr:row>0</xdr:row>
      <xdr:rowOff>28575</xdr:rowOff>
    </xdr:from>
    <xdr:ext cx="10601325" cy="6581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8</xdr:row>
      <xdr:rowOff>47625</xdr:rowOff>
    </xdr:from>
    <xdr:ext cx="6324600" cy="3905250"/>
    <xdr:pic>
      <xdr:nvPicPr>
        <xdr:cNvPr id="493968688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15</xdr:row>
      <xdr:rowOff>104775</xdr:rowOff>
    </xdr:from>
    <xdr:ext cx="7000875" cy="4333875"/>
    <xdr:pic>
      <xdr:nvPicPr>
        <xdr:cNvPr id="542226074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571500</xdr:colOff>
      <xdr:row>4</xdr:row>
      <xdr:rowOff>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30</xdr:col>
      <xdr:colOff>381000</xdr:colOff>
      <xdr:row>3</xdr:row>
      <xdr:rowOff>114300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39</xdr:col>
      <xdr:colOff>561975</xdr:colOff>
      <xdr:row>3</xdr:row>
      <xdr:rowOff>19050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48</xdr:col>
      <xdr:colOff>400050</xdr:colOff>
      <xdr:row>3</xdr:row>
      <xdr:rowOff>19050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57</xdr:col>
      <xdr:colOff>133350</xdr:colOff>
      <xdr:row>3</xdr:row>
      <xdr:rowOff>114300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18</xdr:row>
      <xdr:rowOff>152400</xdr:rowOff>
    </xdr:from>
    <xdr:ext cx="5086350" cy="31432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1.0"/>
    <col customWidth="1" min="4" max="4" width="16.63"/>
    <col customWidth="1" min="6" max="6" width="13.88"/>
    <col customWidth="1" min="7" max="7" width="16.63"/>
    <col customWidth="1" min="8" max="8" width="40.63"/>
    <col customWidth="1" min="9" max="9" width="18.63"/>
    <col customWidth="1" min="14" max="14" width="21.75"/>
    <col customWidth="1" min="15" max="15" width="15.88"/>
    <col customWidth="1" min="16" max="16" width="14.8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6" t="s">
        <v>8</v>
      </c>
      <c r="M1" s="2"/>
      <c r="N1" s="7"/>
      <c r="O1" s="8"/>
    </row>
    <row r="2">
      <c r="A2" s="9" t="s">
        <v>9</v>
      </c>
      <c r="B2" s="10">
        <v>45218.0</v>
      </c>
      <c r="C2" s="9" t="s">
        <v>10</v>
      </c>
      <c r="D2" s="9" t="s">
        <v>11</v>
      </c>
      <c r="E2" s="11">
        <v>51.755</v>
      </c>
      <c r="F2" s="12" t="s">
        <v>12</v>
      </c>
      <c r="G2" s="9" t="s">
        <v>11</v>
      </c>
      <c r="H2" s="13" t="s">
        <v>13</v>
      </c>
      <c r="I2" s="14" t="s">
        <v>14</v>
      </c>
    </row>
    <row r="3">
      <c r="A3" s="9" t="s">
        <v>9</v>
      </c>
      <c r="B3" s="10">
        <v>45221.0</v>
      </c>
      <c r="C3" s="9" t="s">
        <v>10</v>
      </c>
      <c r="D3" s="9" t="s">
        <v>15</v>
      </c>
      <c r="E3" s="15">
        <v>74.21</v>
      </c>
      <c r="F3" s="12" t="s">
        <v>12</v>
      </c>
      <c r="G3" s="9" t="s">
        <v>15</v>
      </c>
      <c r="H3" s="13" t="s">
        <v>16</v>
      </c>
      <c r="I3" s="14" t="s">
        <v>17</v>
      </c>
    </row>
    <row r="4">
      <c r="A4" s="9" t="s">
        <v>9</v>
      </c>
      <c r="B4" s="10">
        <v>45224.0</v>
      </c>
      <c r="C4" s="9" t="s">
        <v>10</v>
      </c>
      <c r="D4" s="9" t="s">
        <v>18</v>
      </c>
      <c r="E4" s="15">
        <v>88.53</v>
      </c>
      <c r="F4" s="12" t="s">
        <v>12</v>
      </c>
      <c r="G4" s="9" t="s">
        <v>18</v>
      </c>
      <c r="H4" s="13" t="s">
        <v>19</v>
      </c>
      <c r="I4" s="14" t="s">
        <v>20</v>
      </c>
    </row>
    <row r="5">
      <c r="A5" s="9" t="s">
        <v>9</v>
      </c>
      <c r="B5" s="10">
        <v>45226.0</v>
      </c>
      <c r="C5" s="9" t="s">
        <v>10</v>
      </c>
      <c r="D5" s="9" t="s">
        <v>11</v>
      </c>
      <c r="E5" s="15">
        <v>25.46</v>
      </c>
      <c r="F5" s="12" t="s">
        <v>21</v>
      </c>
      <c r="G5" s="9" t="s">
        <v>11</v>
      </c>
      <c r="H5" s="13" t="s">
        <v>22</v>
      </c>
      <c r="I5" s="14" t="s">
        <v>23</v>
      </c>
    </row>
    <row r="6">
      <c r="A6" s="9" t="s">
        <v>9</v>
      </c>
      <c r="B6" s="10">
        <v>45228.0</v>
      </c>
      <c r="C6" s="9" t="s">
        <v>10</v>
      </c>
      <c r="D6" s="9" t="s">
        <v>11</v>
      </c>
      <c r="E6" s="15">
        <v>72.28</v>
      </c>
      <c r="F6" s="12" t="s">
        <v>24</v>
      </c>
      <c r="G6" s="9" t="s">
        <v>11</v>
      </c>
      <c r="H6" s="13" t="s">
        <v>25</v>
      </c>
      <c r="I6" s="14" t="s">
        <v>26</v>
      </c>
    </row>
    <row r="7">
      <c r="A7" s="9" t="s">
        <v>9</v>
      </c>
      <c r="B7" s="10">
        <v>45233.0</v>
      </c>
      <c r="C7" s="9" t="s">
        <v>10</v>
      </c>
      <c r="D7" s="9" t="s">
        <v>15</v>
      </c>
      <c r="E7" s="15">
        <v>102.65</v>
      </c>
      <c r="F7" s="16" t="s">
        <v>27</v>
      </c>
      <c r="G7" s="9" t="s">
        <v>15</v>
      </c>
      <c r="H7" s="17" t="s">
        <v>28</v>
      </c>
      <c r="I7" s="14" t="s">
        <v>29</v>
      </c>
    </row>
    <row r="8">
      <c r="A8" s="9" t="s">
        <v>9</v>
      </c>
      <c r="B8" s="10">
        <v>45236.0</v>
      </c>
      <c r="C8" s="9" t="s">
        <v>10</v>
      </c>
      <c r="D8" s="9" t="s">
        <v>18</v>
      </c>
      <c r="E8" s="15">
        <v>108.15</v>
      </c>
      <c r="F8" s="18" t="s">
        <v>30</v>
      </c>
      <c r="G8" s="9" t="s">
        <v>18</v>
      </c>
      <c r="H8" s="17" t="s">
        <v>31</v>
      </c>
      <c r="I8" s="14" t="s">
        <v>29</v>
      </c>
    </row>
    <row r="9">
      <c r="A9" s="9" t="s">
        <v>9</v>
      </c>
      <c r="B9" s="10">
        <v>45240.0</v>
      </c>
      <c r="C9" s="9" t="s">
        <v>10</v>
      </c>
      <c r="D9" s="9" t="s">
        <v>11</v>
      </c>
      <c r="E9" s="15">
        <v>51.09</v>
      </c>
      <c r="F9" s="19" t="s">
        <v>32</v>
      </c>
      <c r="G9" s="9" t="s">
        <v>11</v>
      </c>
      <c r="H9" s="17" t="s">
        <v>33</v>
      </c>
      <c r="I9" s="14" t="s">
        <v>34</v>
      </c>
    </row>
    <row r="10">
      <c r="A10" s="9" t="s">
        <v>9</v>
      </c>
      <c r="B10" s="10">
        <v>45247.0</v>
      </c>
      <c r="C10" s="9" t="s">
        <v>10</v>
      </c>
      <c r="D10" s="9" t="s">
        <v>15</v>
      </c>
      <c r="E10" s="15">
        <v>170.6</v>
      </c>
      <c r="F10" s="18" t="s">
        <v>35</v>
      </c>
      <c r="G10" s="9" t="s">
        <v>15</v>
      </c>
      <c r="H10" s="17" t="s">
        <v>36</v>
      </c>
      <c r="I10" s="14" t="s">
        <v>37</v>
      </c>
    </row>
    <row r="11">
      <c r="A11" s="9" t="s">
        <v>38</v>
      </c>
      <c r="B11" s="10"/>
      <c r="C11" s="9"/>
      <c r="D11" s="9"/>
      <c r="E11" s="15"/>
      <c r="F11" s="18"/>
      <c r="G11" s="9"/>
      <c r="H11" s="20"/>
    </row>
    <row r="12">
      <c r="A12" s="9" t="s">
        <v>39</v>
      </c>
      <c r="B12" s="10">
        <v>45251.0</v>
      </c>
      <c r="C12" s="9" t="s">
        <v>10</v>
      </c>
      <c r="D12" s="9" t="s">
        <v>18</v>
      </c>
      <c r="E12" s="15">
        <v>132.4</v>
      </c>
      <c r="F12" s="18" t="s">
        <v>40</v>
      </c>
      <c r="G12" s="9" t="s">
        <v>18</v>
      </c>
      <c r="H12" s="17" t="s">
        <v>36</v>
      </c>
      <c r="I12" s="14" t="s">
        <v>29</v>
      </c>
    </row>
    <row r="13">
      <c r="A13" s="9" t="s">
        <v>9</v>
      </c>
      <c r="B13" s="10">
        <v>45258.0</v>
      </c>
      <c r="C13" s="9" t="s">
        <v>10</v>
      </c>
      <c r="D13" s="9" t="s">
        <v>11</v>
      </c>
      <c r="E13" s="15">
        <v>136.52</v>
      </c>
      <c r="F13" s="18" t="s">
        <v>41</v>
      </c>
      <c r="G13" s="9" t="s">
        <v>11</v>
      </c>
      <c r="H13" s="20"/>
      <c r="I13" s="14" t="s">
        <v>42</v>
      </c>
    </row>
    <row r="14">
      <c r="A14" s="9" t="s">
        <v>9</v>
      </c>
      <c r="B14" s="10">
        <v>45265.0</v>
      </c>
      <c r="C14" s="9" t="s">
        <v>10</v>
      </c>
      <c r="D14" s="9" t="s">
        <v>15</v>
      </c>
      <c r="E14" s="15">
        <v>208.2</v>
      </c>
      <c r="F14" s="18" t="s">
        <v>21</v>
      </c>
      <c r="G14" s="9" t="s">
        <v>15</v>
      </c>
      <c r="H14" s="17" t="s">
        <v>43</v>
      </c>
      <c r="I14" s="14" t="s">
        <v>44</v>
      </c>
    </row>
    <row r="15">
      <c r="A15" s="9" t="s">
        <v>9</v>
      </c>
      <c r="B15" s="10">
        <v>45269.0</v>
      </c>
      <c r="C15" s="9" t="s">
        <v>10</v>
      </c>
      <c r="D15" s="9" t="s">
        <v>18</v>
      </c>
      <c r="E15" s="15">
        <v>158.79</v>
      </c>
      <c r="F15" s="18" t="s">
        <v>27</v>
      </c>
      <c r="G15" s="9" t="s">
        <v>18</v>
      </c>
      <c r="H15" s="17" t="s">
        <v>45</v>
      </c>
      <c r="I15" s="14" t="s">
        <v>46</v>
      </c>
    </row>
    <row r="16">
      <c r="A16" s="9" t="s">
        <v>47</v>
      </c>
      <c r="B16" s="10">
        <v>45272.0</v>
      </c>
      <c r="C16" s="9" t="s">
        <v>10</v>
      </c>
      <c r="D16" s="9" t="s">
        <v>48</v>
      </c>
      <c r="E16" s="15">
        <v>163.04</v>
      </c>
      <c r="F16" s="18" t="s">
        <v>27</v>
      </c>
      <c r="G16" s="9" t="s">
        <v>48</v>
      </c>
      <c r="H16" s="17" t="s">
        <v>49</v>
      </c>
      <c r="I16" s="14" t="s">
        <v>42</v>
      </c>
    </row>
    <row r="17">
      <c r="A17" s="9" t="s">
        <v>50</v>
      </c>
      <c r="B17" s="21">
        <v>45275.0</v>
      </c>
      <c r="C17" s="9" t="s">
        <v>10</v>
      </c>
      <c r="D17" s="9" t="s">
        <v>11</v>
      </c>
      <c r="E17" s="15">
        <v>212.85</v>
      </c>
      <c r="F17" s="18" t="s">
        <v>21</v>
      </c>
      <c r="G17" s="9" t="s">
        <v>11</v>
      </c>
      <c r="H17" s="17" t="s">
        <v>51</v>
      </c>
      <c r="I17" s="17" t="s">
        <v>52</v>
      </c>
    </row>
    <row r="18">
      <c r="A18" s="9" t="s">
        <v>9</v>
      </c>
      <c r="B18" s="21">
        <v>45279.0</v>
      </c>
      <c r="C18" s="9" t="s">
        <v>10</v>
      </c>
      <c r="D18" s="9" t="s">
        <v>15</v>
      </c>
      <c r="E18" s="15">
        <v>136.87</v>
      </c>
      <c r="F18" s="18" t="s">
        <v>53</v>
      </c>
      <c r="G18" s="9" t="s">
        <v>15</v>
      </c>
      <c r="H18" s="17" t="s">
        <v>54</v>
      </c>
      <c r="I18" s="17" t="s">
        <v>52</v>
      </c>
    </row>
    <row r="19">
      <c r="A19" s="9" t="s">
        <v>9</v>
      </c>
      <c r="B19" s="21">
        <v>45282.0</v>
      </c>
      <c r="C19" s="9" t="s">
        <v>10</v>
      </c>
      <c r="D19" s="9" t="s">
        <v>18</v>
      </c>
      <c r="E19" s="15">
        <v>206.75</v>
      </c>
      <c r="F19" s="18" t="s">
        <v>55</v>
      </c>
      <c r="G19" s="9" t="s">
        <v>18</v>
      </c>
      <c r="H19" s="17" t="s">
        <v>56</v>
      </c>
      <c r="I19" s="17" t="s">
        <v>57</v>
      </c>
    </row>
    <row r="20">
      <c r="A20" s="9" t="s">
        <v>9</v>
      </c>
      <c r="B20" s="21">
        <v>45286.0</v>
      </c>
      <c r="C20" s="9" t="s">
        <v>10</v>
      </c>
      <c r="D20" s="9" t="s">
        <v>48</v>
      </c>
      <c r="E20" s="15">
        <v>188.67</v>
      </c>
      <c r="F20" s="18" t="s">
        <v>58</v>
      </c>
      <c r="G20" s="9" t="s">
        <v>48</v>
      </c>
      <c r="H20" s="17" t="s">
        <v>56</v>
      </c>
      <c r="I20" s="17" t="s">
        <v>59</v>
      </c>
    </row>
    <row r="21">
      <c r="A21" s="9" t="s">
        <v>9</v>
      </c>
      <c r="B21" s="21">
        <v>45290.0</v>
      </c>
      <c r="C21" s="9" t="s">
        <v>10</v>
      </c>
      <c r="D21" s="9" t="s">
        <v>11</v>
      </c>
      <c r="E21" s="15">
        <v>121.56</v>
      </c>
      <c r="F21" s="18" t="s">
        <v>41</v>
      </c>
      <c r="G21" s="9" t="s">
        <v>11</v>
      </c>
      <c r="H21" s="17" t="s">
        <v>56</v>
      </c>
      <c r="I21" s="17" t="s">
        <v>60</v>
      </c>
    </row>
    <row r="22">
      <c r="A22" s="9" t="s">
        <v>50</v>
      </c>
      <c r="B22" s="21">
        <v>45294.0</v>
      </c>
      <c r="C22" s="9" t="s">
        <v>10</v>
      </c>
      <c r="D22" s="9" t="s">
        <v>15</v>
      </c>
      <c r="E22" s="15">
        <v>200.2</v>
      </c>
      <c r="F22" s="18" t="s">
        <v>61</v>
      </c>
      <c r="G22" s="9" t="s">
        <v>15</v>
      </c>
      <c r="H22" s="17" t="s">
        <v>62</v>
      </c>
      <c r="I22" s="17" t="s">
        <v>60</v>
      </c>
    </row>
    <row r="23">
      <c r="A23" s="9" t="s">
        <v>9</v>
      </c>
      <c r="B23" s="21">
        <v>45297.0</v>
      </c>
      <c r="C23" s="9" t="s">
        <v>10</v>
      </c>
      <c r="D23" s="9" t="s">
        <v>18</v>
      </c>
      <c r="E23" s="15">
        <v>75.2</v>
      </c>
      <c r="F23" s="18" t="s">
        <v>55</v>
      </c>
      <c r="G23" s="9" t="s">
        <v>18</v>
      </c>
      <c r="H23" s="17" t="s">
        <v>63</v>
      </c>
      <c r="I23" s="14" t="s">
        <v>64</v>
      </c>
    </row>
    <row r="24">
      <c r="A24" s="9" t="s">
        <v>9</v>
      </c>
      <c r="B24" s="21">
        <v>45300.0</v>
      </c>
      <c r="C24" s="9" t="s">
        <v>10</v>
      </c>
      <c r="D24" s="9" t="s">
        <v>48</v>
      </c>
      <c r="E24" s="15">
        <v>120.0</v>
      </c>
      <c r="F24" s="18" t="s">
        <v>58</v>
      </c>
      <c r="G24" s="9" t="s">
        <v>48</v>
      </c>
      <c r="H24" s="17" t="s">
        <v>65</v>
      </c>
      <c r="I24" s="14" t="s">
        <v>66</v>
      </c>
    </row>
    <row r="25">
      <c r="A25" s="9" t="s">
        <v>9</v>
      </c>
      <c r="B25" s="21">
        <v>45303.0</v>
      </c>
      <c r="C25" s="9" t="s">
        <v>10</v>
      </c>
      <c r="D25" s="9" t="s">
        <v>67</v>
      </c>
      <c r="E25" s="15">
        <v>81.8</v>
      </c>
      <c r="F25" s="18" t="s">
        <v>68</v>
      </c>
      <c r="G25" s="9" t="s">
        <v>67</v>
      </c>
      <c r="H25" s="17" t="s">
        <v>65</v>
      </c>
      <c r="I25" s="14" t="s">
        <v>66</v>
      </c>
    </row>
    <row r="26">
      <c r="A26" s="9" t="s">
        <v>9</v>
      </c>
      <c r="B26" s="21">
        <v>45307.0</v>
      </c>
      <c r="C26" s="9" t="s">
        <v>10</v>
      </c>
      <c r="D26" s="9" t="s">
        <v>69</v>
      </c>
      <c r="E26" s="15">
        <v>114.8</v>
      </c>
      <c r="F26" s="18" t="s">
        <v>68</v>
      </c>
      <c r="G26" s="9" t="s">
        <v>69</v>
      </c>
      <c r="H26" s="17" t="s">
        <v>63</v>
      </c>
      <c r="I26" s="14" t="s">
        <v>66</v>
      </c>
    </row>
    <row r="27">
      <c r="A27" s="9" t="s">
        <v>9</v>
      </c>
      <c r="B27" s="21">
        <v>45310.0</v>
      </c>
      <c r="C27" s="9" t="s">
        <v>10</v>
      </c>
      <c r="D27" s="9" t="s">
        <v>70</v>
      </c>
      <c r="E27" s="15">
        <v>80.67</v>
      </c>
      <c r="F27" s="18" t="s">
        <v>68</v>
      </c>
      <c r="G27" s="9" t="s">
        <v>70</v>
      </c>
      <c r="H27" s="17" t="s">
        <v>65</v>
      </c>
      <c r="I27" s="14" t="s">
        <v>71</v>
      </c>
    </row>
    <row r="28">
      <c r="A28" s="9" t="s">
        <v>9</v>
      </c>
      <c r="B28" s="21">
        <v>45314.0</v>
      </c>
      <c r="C28" s="9" t="s">
        <v>10</v>
      </c>
      <c r="D28" s="9" t="s">
        <v>72</v>
      </c>
      <c r="E28" s="15">
        <v>112.56</v>
      </c>
      <c r="F28" s="18" t="s">
        <v>73</v>
      </c>
      <c r="G28" s="9" t="s">
        <v>72</v>
      </c>
      <c r="H28" s="17" t="s">
        <v>74</v>
      </c>
      <c r="I28" s="14" t="s">
        <v>75</v>
      </c>
    </row>
    <row r="29">
      <c r="A29" s="9" t="s">
        <v>9</v>
      </c>
      <c r="B29" s="21">
        <v>45317.0</v>
      </c>
      <c r="C29" s="9" t="s">
        <v>10</v>
      </c>
      <c r="D29" s="9" t="s">
        <v>67</v>
      </c>
      <c r="E29" s="15">
        <v>178.85</v>
      </c>
      <c r="F29" s="18" t="s">
        <v>76</v>
      </c>
      <c r="G29" s="9" t="s">
        <v>67</v>
      </c>
      <c r="H29" s="17" t="s">
        <v>77</v>
      </c>
      <c r="I29" s="17" t="s">
        <v>78</v>
      </c>
    </row>
    <row r="30">
      <c r="A30" s="9" t="s">
        <v>50</v>
      </c>
      <c r="B30" s="21">
        <v>45321.0</v>
      </c>
      <c r="C30" s="9" t="s">
        <v>10</v>
      </c>
      <c r="D30" s="9" t="s">
        <v>69</v>
      </c>
      <c r="E30" s="15">
        <v>98.67</v>
      </c>
      <c r="F30" s="18" t="s">
        <v>79</v>
      </c>
      <c r="G30" s="9" t="s">
        <v>69</v>
      </c>
      <c r="H30" s="17" t="s">
        <v>80</v>
      </c>
      <c r="I30" s="17" t="s">
        <v>81</v>
      </c>
    </row>
    <row r="31">
      <c r="A31" s="9" t="s">
        <v>9</v>
      </c>
      <c r="B31" s="21">
        <v>45324.0</v>
      </c>
      <c r="C31" s="9" t="s">
        <v>10</v>
      </c>
      <c r="D31" s="9" t="s">
        <v>67</v>
      </c>
      <c r="E31" s="15">
        <v>122.37</v>
      </c>
      <c r="F31" s="18" t="s">
        <v>58</v>
      </c>
      <c r="G31" s="9" t="s">
        <v>67</v>
      </c>
      <c r="H31" s="17" t="s">
        <v>82</v>
      </c>
      <c r="I31" s="14" t="s">
        <v>83</v>
      </c>
    </row>
    <row r="32">
      <c r="A32" s="9" t="s">
        <v>9</v>
      </c>
      <c r="B32" s="21">
        <v>45328.0</v>
      </c>
      <c r="C32" s="9" t="s">
        <v>10</v>
      </c>
      <c r="D32" s="9" t="s">
        <v>69</v>
      </c>
      <c r="E32" s="15">
        <v>55.35</v>
      </c>
      <c r="F32" s="18" t="s">
        <v>79</v>
      </c>
      <c r="G32" s="9" t="s">
        <v>69</v>
      </c>
      <c r="H32" s="17" t="s">
        <v>84</v>
      </c>
      <c r="I32" s="14" t="s">
        <v>78</v>
      </c>
    </row>
    <row r="33">
      <c r="A33" s="9" t="s">
        <v>50</v>
      </c>
      <c r="B33" s="21">
        <v>45331.0</v>
      </c>
      <c r="C33" s="9" t="s">
        <v>10</v>
      </c>
      <c r="D33" s="9" t="s">
        <v>67</v>
      </c>
      <c r="E33" s="15">
        <v>23.3</v>
      </c>
      <c r="F33" s="18" t="s">
        <v>85</v>
      </c>
      <c r="G33" s="9" t="s">
        <v>67</v>
      </c>
      <c r="H33" s="17" t="s">
        <v>86</v>
      </c>
      <c r="I33" s="14" t="s">
        <v>81</v>
      </c>
    </row>
    <row r="34">
      <c r="A34" s="9" t="s">
        <v>9</v>
      </c>
      <c r="B34" s="21">
        <v>45337.0</v>
      </c>
      <c r="C34" s="9" t="s">
        <v>10</v>
      </c>
      <c r="D34" s="9" t="s">
        <v>69</v>
      </c>
      <c r="E34" s="15">
        <v>103.76</v>
      </c>
      <c r="F34" s="18" t="s">
        <v>79</v>
      </c>
      <c r="G34" s="9" t="s">
        <v>69</v>
      </c>
      <c r="H34" s="17" t="s">
        <v>87</v>
      </c>
      <c r="I34" s="14" t="s">
        <v>88</v>
      </c>
    </row>
    <row r="35">
      <c r="A35" s="9" t="s">
        <v>47</v>
      </c>
      <c r="B35" s="21">
        <v>45341.0</v>
      </c>
      <c r="C35" s="9" t="s">
        <v>10</v>
      </c>
      <c r="D35" s="9" t="s">
        <v>67</v>
      </c>
      <c r="E35" s="15">
        <v>103.75</v>
      </c>
      <c r="F35" s="18" t="s">
        <v>89</v>
      </c>
      <c r="G35" s="9" t="s">
        <v>67</v>
      </c>
      <c r="H35" s="17" t="s">
        <v>90</v>
      </c>
      <c r="I35" s="14" t="s">
        <v>91</v>
      </c>
    </row>
    <row r="36">
      <c r="A36" s="9" t="s">
        <v>47</v>
      </c>
      <c r="B36" s="21">
        <v>45341.0</v>
      </c>
      <c r="C36" s="9" t="s">
        <v>92</v>
      </c>
      <c r="D36" s="9" t="s">
        <v>69</v>
      </c>
      <c r="E36" s="15">
        <v>175.61</v>
      </c>
      <c r="F36" s="18" t="s">
        <v>61</v>
      </c>
      <c r="G36" s="9" t="s">
        <v>69</v>
      </c>
      <c r="H36" s="17" t="s">
        <v>93</v>
      </c>
      <c r="I36" s="14" t="s">
        <v>94</v>
      </c>
    </row>
    <row r="37">
      <c r="A37" s="9" t="s">
        <v>9</v>
      </c>
      <c r="B37" s="21">
        <v>45344.0</v>
      </c>
      <c r="C37" s="9" t="s">
        <v>92</v>
      </c>
      <c r="D37" s="9" t="s">
        <v>70</v>
      </c>
      <c r="E37" s="15">
        <v>171.41</v>
      </c>
      <c r="F37" s="22"/>
      <c r="G37" s="9" t="s">
        <v>70</v>
      </c>
      <c r="H37" s="17" t="s">
        <v>93</v>
      </c>
      <c r="I37" s="14" t="s">
        <v>95</v>
      </c>
    </row>
    <row r="38">
      <c r="A38" s="9" t="s">
        <v>9</v>
      </c>
      <c r="B38" s="21">
        <v>45344.0</v>
      </c>
      <c r="C38" s="9" t="s">
        <v>10</v>
      </c>
      <c r="D38" s="9" t="s">
        <v>72</v>
      </c>
      <c r="E38" s="15">
        <v>47.1</v>
      </c>
      <c r="F38" s="22"/>
      <c r="G38" s="9" t="s">
        <v>72</v>
      </c>
      <c r="H38" s="17" t="s">
        <v>96</v>
      </c>
      <c r="I38" s="14" t="s">
        <v>88</v>
      </c>
    </row>
    <row r="39">
      <c r="A39" s="9" t="s">
        <v>47</v>
      </c>
      <c r="B39" s="21">
        <v>45345.0</v>
      </c>
      <c r="C39" s="9" t="s">
        <v>10</v>
      </c>
      <c r="D39" s="9" t="s">
        <v>67</v>
      </c>
      <c r="E39" s="15">
        <v>46.89</v>
      </c>
      <c r="F39" s="18" t="s">
        <v>97</v>
      </c>
      <c r="G39" s="9" t="s">
        <v>67</v>
      </c>
      <c r="H39" s="17" t="s">
        <v>98</v>
      </c>
      <c r="I39" s="14" t="s">
        <v>99</v>
      </c>
    </row>
    <row r="40">
      <c r="A40" s="9" t="s">
        <v>47</v>
      </c>
      <c r="B40" s="21">
        <v>45345.0</v>
      </c>
      <c r="C40" s="9" t="s">
        <v>92</v>
      </c>
      <c r="D40" s="9" t="s">
        <v>69</v>
      </c>
      <c r="E40" s="15">
        <v>195.0</v>
      </c>
      <c r="F40" s="18" t="s">
        <v>97</v>
      </c>
      <c r="G40" s="9" t="s">
        <v>69</v>
      </c>
      <c r="H40" s="17" t="s">
        <v>100</v>
      </c>
      <c r="I40" s="14" t="s">
        <v>101</v>
      </c>
    </row>
    <row r="41">
      <c r="A41" s="9" t="s">
        <v>50</v>
      </c>
      <c r="B41" s="21">
        <v>45348.0</v>
      </c>
      <c r="C41" s="9" t="s">
        <v>92</v>
      </c>
      <c r="D41" s="9" t="s">
        <v>67</v>
      </c>
      <c r="E41" s="15">
        <v>326.76</v>
      </c>
      <c r="F41" s="18" t="s">
        <v>58</v>
      </c>
      <c r="G41" s="9" t="s">
        <v>67</v>
      </c>
      <c r="H41" s="17" t="s">
        <v>102</v>
      </c>
    </row>
    <row r="42">
      <c r="A42" s="9" t="s">
        <v>50</v>
      </c>
      <c r="B42" s="21">
        <v>45348.0</v>
      </c>
      <c r="C42" s="9" t="s">
        <v>10</v>
      </c>
      <c r="D42" s="9" t="s">
        <v>67</v>
      </c>
      <c r="E42" s="15">
        <v>102.45</v>
      </c>
      <c r="F42" s="18" t="s">
        <v>58</v>
      </c>
      <c r="G42" s="9" t="s">
        <v>67</v>
      </c>
      <c r="H42" s="17" t="s">
        <v>103</v>
      </c>
    </row>
    <row r="43">
      <c r="A43" s="9" t="s">
        <v>9</v>
      </c>
      <c r="B43" s="21">
        <v>45350.0</v>
      </c>
      <c r="C43" s="9" t="s">
        <v>92</v>
      </c>
      <c r="D43" s="9" t="s">
        <v>72</v>
      </c>
      <c r="E43" s="15">
        <v>205.75</v>
      </c>
      <c r="F43" s="18" t="s">
        <v>58</v>
      </c>
      <c r="G43" s="9" t="s">
        <v>72</v>
      </c>
      <c r="H43" s="17" t="s">
        <v>104</v>
      </c>
      <c r="I43" s="14" t="s">
        <v>105</v>
      </c>
    </row>
    <row r="44">
      <c r="A44" s="9" t="s">
        <v>9</v>
      </c>
      <c r="B44" s="21">
        <v>45350.0</v>
      </c>
      <c r="C44" s="9" t="s">
        <v>10</v>
      </c>
      <c r="D44" s="9" t="s">
        <v>70</v>
      </c>
      <c r="E44" s="15">
        <v>58.55</v>
      </c>
      <c r="F44" s="18" t="s">
        <v>85</v>
      </c>
      <c r="G44" s="9" t="s">
        <v>70</v>
      </c>
      <c r="H44" s="17" t="s">
        <v>106</v>
      </c>
      <c r="I44" s="14" t="s">
        <v>107</v>
      </c>
    </row>
    <row r="45">
      <c r="A45" s="9" t="s">
        <v>50</v>
      </c>
      <c r="B45" s="21">
        <v>45352.0</v>
      </c>
      <c r="C45" s="9" t="s">
        <v>10</v>
      </c>
      <c r="D45" s="9" t="s">
        <v>108</v>
      </c>
      <c r="E45" s="15">
        <v>62.3</v>
      </c>
      <c r="F45" s="18" t="s">
        <v>68</v>
      </c>
      <c r="G45" s="9" t="s">
        <v>108</v>
      </c>
      <c r="H45" s="17" t="s">
        <v>109</v>
      </c>
      <c r="I45" s="14" t="s">
        <v>110</v>
      </c>
    </row>
    <row r="46">
      <c r="A46" s="9" t="s">
        <v>50</v>
      </c>
      <c r="B46" s="21">
        <v>45352.0</v>
      </c>
      <c r="C46" s="9" t="s">
        <v>92</v>
      </c>
      <c r="D46" s="9" t="s">
        <v>108</v>
      </c>
      <c r="E46" s="15">
        <v>110.9</v>
      </c>
      <c r="F46" s="18" t="s">
        <v>68</v>
      </c>
      <c r="G46" s="9" t="s">
        <v>108</v>
      </c>
      <c r="H46" s="17" t="s">
        <v>111</v>
      </c>
      <c r="I46" s="14" t="s">
        <v>112</v>
      </c>
    </row>
    <row r="47">
      <c r="A47" s="9" t="s">
        <v>9</v>
      </c>
      <c r="B47" s="23">
        <v>45355.0</v>
      </c>
      <c r="C47" s="9" t="s">
        <v>92</v>
      </c>
      <c r="D47" s="9" t="s">
        <v>113</v>
      </c>
      <c r="E47" s="24">
        <v>110.75</v>
      </c>
      <c r="F47" s="18" t="s">
        <v>68</v>
      </c>
      <c r="G47" s="9" t="s">
        <v>113</v>
      </c>
      <c r="H47" s="17" t="s">
        <v>114</v>
      </c>
      <c r="I47" s="14" t="s">
        <v>115</v>
      </c>
    </row>
    <row r="48">
      <c r="A48" s="9" t="s">
        <v>9</v>
      </c>
      <c r="B48" s="23">
        <v>45355.0</v>
      </c>
      <c r="C48" s="9" t="s">
        <v>10</v>
      </c>
      <c r="D48" s="9" t="s">
        <v>113</v>
      </c>
      <c r="E48" s="24">
        <v>96.5</v>
      </c>
      <c r="F48" s="18" t="s">
        <v>68</v>
      </c>
      <c r="G48" s="9" t="s">
        <v>113</v>
      </c>
      <c r="H48" s="17" t="s">
        <v>116</v>
      </c>
      <c r="I48" s="14" t="s">
        <v>117</v>
      </c>
    </row>
    <row r="49">
      <c r="A49" s="9" t="s">
        <v>9</v>
      </c>
      <c r="B49" s="23">
        <v>45355.0</v>
      </c>
      <c r="C49" s="9" t="s">
        <v>118</v>
      </c>
      <c r="D49" s="9" t="s">
        <v>113</v>
      </c>
      <c r="E49" s="24">
        <v>67.25</v>
      </c>
      <c r="F49" s="18" t="s">
        <v>68</v>
      </c>
      <c r="G49" s="9" t="s">
        <v>113</v>
      </c>
      <c r="H49" s="17" t="s">
        <v>119</v>
      </c>
      <c r="I49" s="14" t="s">
        <v>120</v>
      </c>
    </row>
    <row r="50">
      <c r="A50" s="9" t="s">
        <v>47</v>
      </c>
      <c r="B50" s="23">
        <v>45356.0</v>
      </c>
      <c r="C50" s="9" t="s">
        <v>92</v>
      </c>
      <c r="D50" s="9" t="s">
        <v>67</v>
      </c>
      <c r="E50" s="15">
        <v>109.45</v>
      </c>
      <c r="F50" s="18" t="s">
        <v>85</v>
      </c>
      <c r="G50" s="9" t="s">
        <v>67</v>
      </c>
      <c r="H50" s="20"/>
    </row>
    <row r="51">
      <c r="A51" s="9" t="s">
        <v>47</v>
      </c>
      <c r="B51" s="23">
        <v>45356.0</v>
      </c>
      <c r="C51" s="9" t="s">
        <v>118</v>
      </c>
      <c r="D51" s="9" t="s">
        <v>67</v>
      </c>
      <c r="E51" s="15">
        <v>46.7</v>
      </c>
      <c r="F51" s="18" t="s">
        <v>85</v>
      </c>
      <c r="G51" s="9" t="s">
        <v>67</v>
      </c>
      <c r="H51" s="17" t="s">
        <v>121</v>
      </c>
      <c r="I51" s="14" t="s">
        <v>122</v>
      </c>
    </row>
    <row r="52">
      <c r="A52" s="9" t="s">
        <v>50</v>
      </c>
      <c r="B52" s="23">
        <v>45358.0</v>
      </c>
      <c r="C52" s="9" t="s">
        <v>92</v>
      </c>
      <c r="D52" s="9" t="s">
        <v>69</v>
      </c>
      <c r="E52" s="15">
        <v>166.5</v>
      </c>
      <c r="F52" s="18" t="s">
        <v>123</v>
      </c>
      <c r="G52" s="9" t="s">
        <v>69</v>
      </c>
      <c r="H52" s="17" t="s">
        <v>124</v>
      </c>
      <c r="I52" s="14" t="s">
        <v>125</v>
      </c>
    </row>
    <row r="53">
      <c r="A53" s="9" t="s">
        <v>50</v>
      </c>
      <c r="B53" s="23">
        <v>45358.0</v>
      </c>
      <c r="C53" s="9" t="s">
        <v>126</v>
      </c>
      <c r="D53" s="9" t="s">
        <v>69</v>
      </c>
      <c r="E53" s="15">
        <v>9.35</v>
      </c>
      <c r="F53" s="18" t="s">
        <v>123</v>
      </c>
      <c r="G53" s="9" t="s">
        <v>69</v>
      </c>
      <c r="H53" s="17" t="s">
        <v>127</v>
      </c>
      <c r="I53" s="14" t="s">
        <v>128</v>
      </c>
    </row>
    <row r="54">
      <c r="A54" s="9" t="s">
        <v>50</v>
      </c>
      <c r="B54" s="23">
        <v>45358.0</v>
      </c>
      <c r="C54" s="9" t="s">
        <v>118</v>
      </c>
      <c r="D54" s="9" t="s">
        <v>69</v>
      </c>
      <c r="E54" s="15">
        <v>63.8</v>
      </c>
      <c r="F54" s="18" t="s">
        <v>123</v>
      </c>
      <c r="G54" s="9" t="s">
        <v>69</v>
      </c>
      <c r="H54" s="17" t="s">
        <v>129</v>
      </c>
      <c r="I54" s="14" t="s">
        <v>122</v>
      </c>
    </row>
    <row r="55">
      <c r="A55" s="9" t="s">
        <v>50</v>
      </c>
      <c r="B55" s="23">
        <v>45358.0</v>
      </c>
      <c r="C55" s="9" t="s">
        <v>10</v>
      </c>
      <c r="D55" s="9" t="s">
        <v>69</v>
      </c>
      <c r="E55" s="15">
        <v>66.0</v>
      </c>
      <c r="F55" s="18" t="s">
        <v>123</v>
      </c>
      <c r="G55" s="9" t="s">
        <v>69</v>
      </c>
      <c r="H55" s="17" t="s">
        <v>130</v>
      </c>
      <c r="I55" s="14" t="s">
        <v>131</v>
      </c>
    </row>
    <row r="56">
      <c r="A56" s="9" t="s">
        <v>9</v>
      </c>
      <c r="B56" s="23">
        <v>45359.0</v>
      </c>
      <c r="C56" s="9" t="s">
        <v>92</v>
      </c>
      <c r="D56" s="9" t="s">
        <v>108</v>
      </c>
      <c r="E56" s="15">
        <v>233.45</v>
      </c>
      <c r="F56" s="18" t="s">
        <v>79</v>
      </c>
      <c r="G56" s="9" t="s">
        <v>108</v>
      </c>
      <c r="H56" s="17" t="s">
        <v>132</v>
      </c>
      <c r="I56" s="14" t="s">
        <v>125</v>
      </c>
      <c r="M56" s="25"/>
      <c r="N56" s="26"/>
      <c r="O56" s="7"/>
    </row>
    <row r="57">
      <c r="A57" s="9" t="s">
        <v>9</v>
      </c>
      <c r="B57" s="23">
        <v>45359.0</v>
      </c>
      <c r="C57" s="9" t="s">
        <v>10</v>
      </c>
      <c r="D57" s="9" t="s">
        <v>108</v>
      </c>
      <c r="E57" s="15">
        <v>21.32</v>
      </c>
      <c r="F57" s="18" t="s">
        <v>79</v>
      </c>
      <c r="G57" s="9" t="s">
        <v>108</v>
      </c>
      <c r="H57" s="17" t="s">
        <v>133</v>
      </c>
      <c r="I57" s="14" t="s">
        <v>128</v>
      </c>
      <c r="M57" s="25"/>
      <c r="N57" s="26"/>
      <c r="O57" s="7"/>
    </row>
    <row r="58">
      <c r="A58" s="9" t="s">
        <v>9</v>
      </c>
      <c r="B58" s="23">
        <v>45359.0</v>
      </c>
      <c r="C58" s="9" t="s">
        <v>118</v>
      </c>
      <c r="D58" s="9" t="s">
        <v>108</v>
      </c>
      <c r="E58" s="15">
        <v>38.9</v>
      </c>
      <c r="F58" s="18" t="s">
        <v>79</v>
      </c>
      <c r="G58" s="9" t="s">
        <v>108</v>
      </c>
      <c r="H58" s="17" t="s">
        <v>133</v>
      </c>
      <c r="I58" s="14" t="s">
        <v>134</v>
      </c>
      <c r="N58" s="7"/>
      <c r="O58" s="7"/>
    </row>
    <row r="59">
      <c r="A59" s="9" t="s">
        <v>9</v>
      </c>
      <c r="B59" s="23">
        <v>45362.0</v>
      </c>
      <c r="C59" s="9" t="s">
        <v>92</v>
      </c>
      <c r="D59" s="9" t="s">
        <v>108</v>
      </c>
      <c r="E59" s="15">
        <v>164.35</v>
      </c>
      <c r="F59" s="18" t="s">
        <v>79</v>
      </c>
      <c r="G59" s="9" t="s">
        <v>108</v>
      </c>
      <c r="H59" s="17" t="s">
        <v>135</v>
      </c>
      <c r="I59" s="14" t="s">
        <v>136</v>
      </c>
    </row>
    <row r="60">
      <c r="A60" s="9" t="s">
        <v>9</v>
      </c>
      <c r="B60" s="23">
        <v>45362.0</v>
      </c>
      <c r="C60" s="9" t="s">
        <v>10</v>
      </c>
      <c r="D60" s="9" t="s">
        <v>113</v>
      </c>
      <c r="E60" s="27">
        <v>101.88</v>
      </c>
      <c r="F60" s="18" t="s">
        <v>58</v>
      </c>
      <c r="G60" s="9" t="s">
        <v>113</v>
      </c>
      <c r="H60" s="17" t="s">
        <v>137</v>
      </c>
      <c r="I60" s="14" t="s">
        <v>138</v>
      </c>
    </row>
    <row r="61">
      <c r="A61" s="9" t="s">
        <v>50</v>
      </c>
      <c r="B61" s="23">
        <v>45364.0</v>
      </c>
      <c r="C61" s="9" t="s">
        <v>92</v>
      </c>
      <c r="D61" s="9" t="s">
        <v>113</v>
      </c>
      <c r="E61" s="15">
        <v>281.0</v>
      </c>
      <c r="F61" s="18" t="s">
        <v>58</v>
      </c>
      <c r="G61" s="9" t="s">
        <v>113</v>
      </c>
      <c r="H61" s="17" t="s">
        <v>139</v>
      </c>
    </row>
    <row r="62">
      <c r="A62" s="9" t="s">
        <v>50</v>
      </c>
      <c r="B62" s="23">
        <v>45364.0</v>
      </c>
      <c r="C62" s="9" t="s">
        <v>10</v>
      </c>
      <c r="D62" s="9" t="s">
        <v>113</v>
      </c>
      <c r="E62" s="15">
        <v>45.75</v>
      </c>
      <c r="F62" s="18" t="s">
        <v>58</v>
      </c>
      <c r="G62" s="9" t="s">
        <v>113</v>
      </c>
      <c r="H62" s="17" t="s">
        <v>140</v>
      </c>
      <c r="I62" s="14" t="s">
        <v>141</v>
      </c>
    </row>
    <row r="63">
      <c r="A63" s="9" t="s">
        <v>50</v>
      </c>
      <c r="B63" s="23">
        <v>45364.0</v>
      </c>
      <c r="C63" s="9" t="s">
        <v>118</v>
      </c>
      <c r="D63" s="9" t="s">
        <v>113</v>
      </c>
      <c r="E63" s="15">
        <v>19.15</v>
      </c>
      <c r="F63" s="18" t="s">
        <v>58</v>
      </c>
      <c r="G63" s="9" t="s">
        <v>113</v>
      </c>
      <c r="H63" s="17" t="s">
        <v>133</v>
      </c>
    </row>
    <row r="64">
      <c r="A64" s="9" t="s">
        <v>50</v>
      </c>
      <c r="B64" s="23">
        <v>45366.0</v>
      </c>
      <c r="C64" s="9" t="s">
        <v>118</v>
      </c>
      <c r="D64" s="9" t="s">
        <v>67</v>
      </c>
      <c r="E64" s="15">
        <v>73.55</v>
      </c>
      <c r="F64" s="18" t="s">
        <v>142</v>
      </c>
      <c r="G64" s="9" t="s">
        <v>67</v>
      </c>
      <c r="H64" s="17" t="s">
        <v>143</v>
      </c>
      <c r="I64" s="14" t="s">
        <v>144</v>
      </c>
    </row>
    <row r="65">
      <c r="A65" s="9" t="s">
        <v>50</v>
      </c>
      <c r="B65" s="23">
        <v>45366.0</v>
      </c>
      <c r="C65" s="9" t="s">
        <v>92</v>
      </c>
      <c r="D65" s="9" t="s">
        <v>67</v>
      </c>
      <c r="E65" s="15">
        <v>313.9</v>
      </c>
      <c r="F65" s="18" t="s">
        <v>142</v>
      </c>
      <c r="G65" s="9" t="s">
        <v>67</v>
      </c>
      <c r="H65" s="17" t="s">
        <v>145</v>
      </c>
      <c r="I65" s="14" t="s">
        <v>146</v>
      </c>
    </row>
    <row r="66">
      <c r="A66" s="9" t="s">
        <v>50</v>
      </c>
      <c r="B66" s="23">
        <v>45366.0</v>
      </c>
      <c r="C66" s="9" t="s">
        <v>10</v>
      </c>
      <c r="D66" s="9" t="s">
        <v>67</v>
      </c>
      <c r="E66" s="15">
        <v>62.3</v>
      </c>
      <c r="F66" s="18" t="s">
        <v>142</v>
      </c>
      <c r="G66" s="9" t="s">
        <v>67</v>
      </c>
      <c r="H66" s="17" t="s">
        <v>147</v>
      </c>
      <c r="I66" s="14" t="s">
        <v>148</v>
      </c>
    </row>
    <row r="67">
      <c r="A67" s="9" t="s">
        <v>9</v>
      </c>
      <c r="B67" s="23">
        <v>45370.0</v>
      </c>
      <c r="C67" s="9" t="s">
        <v>10</v>
      </c>
      <c r="D67" s="9" t="s">
        <v>69</v>
      </c>
      <c r="E67" s="27">
        <v>61.5</v>
      </c>
      <c r="F67" s="18" t="s">
        <v>149</v>
      </c>
      <c r="G67" s="9" t="s">
        <v>69</v>
      </c>
      <c r="H67" s="17" t="s">
        <v>150</v>
      </c>
      <c r="I67" s="14" t="s">
        <v>141</v>
      </c>
    </row>
    <row r="68">
      <c r="A68" s="9" t="s">
        <v>50</v>
      </c>
      <c r="B68" s="23">
        <v>45370.0</v>
      </c>
      <c r="C68" s="9" t="s">
        <v>92</v>
      </c>
      <c r="D68" s="9" t="s">
        <v>69</v>
      </c>
      <c r="E68" s="27">
        <v>262.48</v>
      </c>
      <c r="F68" s="18" t="s">
        <v>149</v>
      </c>
      <c r="G68" s="9" t="s">
        <v>69</v>
      </c>
      <c r="H68" s="17" t="s">
        <v>151</v>
      </c>
      <c r="I68" s="14" t="s">
        <v>125</v>
      </c>
    </row>
    <row r="69">
      <c r="A69" s="9" t="s">
        <v>50</v>
      </c>
      <c r="B69" s="23">
        <v>45372.0</v>
      </c>
      <c r="C69" s="9" t="s">
        <v>118</v>
      </c>
      <c r="D69" s="9" t="s">
        <v>113</v>
      </c>
      <c r="E69" s="27">
        <v>66.79</v>
      </c>
      <c r="F69" s="18" t="s">
        <v>152</v>
      </c>
      <c r="G69" s="9" t="s">
        <v>113</v>
      </c>
      <c r="H69" s="17" t="s">
        <v>153</v>
      </c>
      <c r="I69" s="14" t="s">
        <v>154</v>
      </c>
    </row>
    <row r="70">
      <c r="A70" s="9" t="s">
        <v>50</v>
      </c>
      <c r="B70" s="23">
        <v>45372.0</v>
      </c>
      <c r="C70" s="9" t="s">
        <v>92</v>
      </c>
      <c r="D70" s="9" t="s">
        <v>113</v>
      </c>
      <c r="E70" s="27">
        <v>218.2</v>
      </c>
      <c r="F70" s="18" t="s">
        <v>152</v>
      </c>
      <c r="G70" s="9" t="s">
        <v>113</v>
      </c>
      <c r="H70" s="17" t="s">
        <v>155</v>
      </c>
      <c r="I70" s="14" t="s">
        <v>125</v>
      </c>
    </row>
    <row r="71">
      <c r="A71" s="9" t="s">
        <v>50</v>
      </c>
      <c r="B71" s="23">
        <v>45372.0</v>
      </c>
      <c r="C71" s="9" t="s">
        <v>10</v>
      </c>
      <c r="D71" s="9" t="s">
        <v>113</v>
      </c>
      <c r="E71" s="27">
        <v>39.0</v>
      </c>
      <c r="F71" s="18" t="s">
        <v>152</v>
      </c>
      <c r="G71" s="9" t="s">
        <v>113</v>
      </c>
      <c r="H71" s="17" t="s">
        <v>156</v>
      </c>
      <c r="I71" s="14" t="s">
        <v>141</v>
      </c>
    </row>
    <row r="72">
      <c r="A72" s="9" t="s">
        <v>50</v>
      </c>
      <c r="B72" s="23">
        <v>45372.0</v>
      </c>
      <c r="C72" s="9" t="s">
        <v>126</v>
      </c>
      <c r="D72" s="9" t="s">
        <v>113</v>
      </c>
      <c r="E72" s="27">
        <v>11.5</v>
      </c>
      <c r="F72" s="18" t="s">
        <v>152</v>
      </c>
      <c r="G72" s="9" t="s">
        <v>113</v>
      </c>
      <c r="H72" s="17" t="s">
        <v>157</v>
      </c>
      <c r="I72" s="14" t="s">
        <v>158</v>
      </c>
    </row>
    <row r="73">
      <c r="A73" s="9" t="s">
        <v>50</v>
      </c>
      <c r="B73" s="23">
        <v>45373.0</v>
      </c>
      <c r="C73" s="9" t="s">
        <v>92</v>
      </c>
      <c r="D73" s="9" t="s">
        <v>108</v>
      </c>
      <c r="E73" s="24">
        <v>89.46</v>
      </c>
      <c r="F73" s="18" t="s">
        <v>58</v>
      </c>
      <c r="G73" s="9" t="s">
        <v>108</v>
      </c>
      <c r="H73" s="17" t="s">
        <v>159</v>
      </c>
      <c r="I73" s="14" t="s">
        <v>160</v>
      </c>
    </row>
    <row r="74">
      <c r="A74" s="9" t="s">
        <v>50</v>
      </c>
      <c r="B74" s="23">
        <v>45373.0</v>
      </c>
      <c r="C74" s="9" t="s">
        <v>126</v>
      </c>
      <c r="D74" s="9" t="s">
        <v>108</v>
      </c>
      <c r="E74" s="24">
        <v>31.88</v>
      </c>
      <c r="F74" s="18" t="s">
        <v>58</v>
      </c>
      <c r="G74" s="9" t="s">
        <v>108</v>
      </c>
      <c r="H74" s="17" t="s">
        <v>161</v>
      </c>
      <c r="I74" s="14" t="s">
        <v>162</v>
      </c>
    </row>
    <row r="75">
      <c r="A75" s="9" t="s">
        <v>50</v>
      </c>
      <c r="B75" s="23">
        <v>45376.0</v>
      </c>
      <c r="C75" s="9" t="s">
        <v>92</v>
      </c>
      <c r="D75" s="9" t="s">
        <v>67</v>
      </c>
      <c r="E75" s="15">
        <v>322.85</v>
      </c>
      <c r="F75" s="18" t="s">
        <v>163</v>
      </c>
      <c r="G75" s="9" t="s">
        <v>67</v>
      </c>
      <c r="H75" s="17" t="s">
        <v>164</v>
      </c>
      <c r="I75" s="14" t="s">
        <v>125</v>
      </c>
    </row>
    <row r="76">
      <c r="A76" s="9" t="s">
        <v>50</v>
      </c>
      <c r="B76" s="23">
        <v>45376.0</v>
      </c>
      <c r="C76" s="9" t="s">
        <v>10</v>
      </c>
      <c r="D76" s="9" t="s">
        <v>67</v>
      </c>
      <c r="E76" s="15">
        <v>74.98</v>
      </c>
      <c r="F76" s="18" t="s">
        <v>163</v>
      </c>
      <c r="G76" s="9" t="s">
        <v>67</v>
      </c>
      <c r="H76" s="17" t="s">
        <v>165</v>
      </c>
      <c r="I76" s="14" t="s">
        <v>166</v>
      </c>
    </row>
    <row r="77">
      <c r="A77" s="9" t="s">
        <v>9</v>
      </c>
      <c r="B77" s="23">
        <v>45379.0</v>
      </c>
      <c r="C77" s="9" t="s">
        <v>10</v>
      </c>
      <c r="D77" s="9" t="s">
        <v>69</v>
      </c>
      <c r="E77" s="15">
        <v>102.61</v>
      </c>
      <c r="F77" s="18" t="s">
        <v>167</v>
      </c>
      <c r="G77" s="9" t="s">
        <v>69</v>
      </c>
      <c r="H77" s="17" t="s">
        <v>168</v>
      </c>
      <c r="I77" s="14" t="s">
        <v>166</v>
      </c>
    </row>
    <row r="78">
      <c r="A78" s="9" t="s">
        <v>9</v>
      </c>
      <c r="B78" s="23">
        <v>45379.0</v>
      </c>
      <c r="C78" s="9" t="s">
        <v>92</v>
      </c>
      <c r="D78" s="9" t="s">
        <v>69</v>
      </c>
      <c r="E78" s="15">
        <v>368.96</v>
      </c>
      <c r="F78" s="18" t="s">
        <v>167</v>
      </c>
      <c r="G78" s="9" t="s">
        <v>69</v>
      </c>
      <c r="H78" s="17" t="s">
        <v>169</v>
      </c>
      <c r="I78" s="14" t="s">
        <v>125</v>
      </c>
    </row>
    <row r="79">
      <c r="A79" s="9" t="s">
        <v>9</v>
      </c>
      <c r="B79" s="23">
        <v>45379.0</v>
      </c>
      <c r="C79" s="9" t="s">
        <v>126</v>
      </c>
      <c r="D79" s="9" t="s">
        <v>69</v>
      </c>
      <c r="E79" s="15">
        <v>9.9</v>
      </c>
      <c r="F79" s="18" t="s">
        <v>167</v>
      </c>
      <c r="G79" s="9" t="s">
        <v>69</v>
      </c>
      <c r="H79" s="17" t="s">
        <v>170</v>
      </c>
      <c r="I79" s="14" t="s">
        <v>128</v>
      </c>
    </row>
    <row r="80">
      <c r="A80" s="9" t="s">
        <v>9</v>
      </c>
      <c r="B80" s="23">
        <v>45383.0</v>
      </c>
      <c r="C80" s="9" t="s">
        <v>10</v>
      </c>
      <c r="D80" s="9">
        <v>3.0</v>
      </c>
      <c r="E80" s="27">
        <v>77.3</v>
      </c>
      <c r="F80" s="18" t="s">
        <v>171</v>
      </c>
      <c r="G80" s="9">
        <v>3.0</v>
      </c>
      <c r="H80" s="17" t="s">
        <v>172</v>
      </c>
      <c r="I80" s="14" t="s">
        <v>173</v>
      </c>
    </row>
    <row r="81">
      <c r="A81" s="9" t="s">
        <v>9</v>
      </c>
      <c r="B81" s="23">
        <v>45383.0</v>
      </c>
      <c r="C81" s="9" t="s">
        <v>92</v>
      </c>
      <c r="D81" s="9">
        <v>3.0</v>
      </c>
      <c r="E81" s="27">
        <v>402.88</v>
      </c>
      <c r="F81" s="18" t="s">
        <v>171</v>
      </c>
      <c r="G81" s="9">
        <v>3.0</v>
      </c>
      <c r="H81" s="17" t="s">
        <v>174</v>
      </c>
      <c r="I81" s="14" t="s">
        <v>175</v>
      </c>
    </row>
    <row r="82">
      <c r="A82" s="9" t="s">
        <v>9</v>
      </c>
      <c r="B82" s="23">
        <v>45383.0</v>
      </c>
      <c r="C82" s="9" t="s">
        <v>176</v>
      </c>
      <c r="D82" s="9">
        <v>3.0</v>
      </c>
      <c r="E82" s="27">
        <v>122.36</v>
      </c>
      <c r="F82" s="18" t="s">
        <v>171</v>
      </c>
      <c r="G82" s="9">
        <v>3.0</v>
      </c>
      <c r="H82" s="17" t="s">
        <v>177</v>
      </c>
      <c r="I82" s="14" t="s">
        <v>178</v>
      </c>
    </row>
    <row r="83">
      <c r="A83" s="9" t="s">
        <v>9</v>
      </c>
      <c r="B83" s="23">
        <v>45385.0</v>
      </c>
      <c r="C83" s="9" t="s">
        <v>10</v>
      </c>
      <c r="D83" s="9" t="s">
        <v>67</v>
      </c>
      <c r="E83" s="27">
        <v>85.3</v>
      </c>
      <c r="F83" s="18" t="s">
        <v>179</v>
      </c>
      <c r="G83" s="9" t="s">
        <v>67</v>
      </c>
      <c r="H83" s="17" t="s">
        <v>180</v>
      </c>
      <c r="I83" s="14" t="s">
        <v>181</v>
      </c>
    </row>
    <row r="84">
      <c r="A84" s="9" t="s">
        <v>9</v>
      </c>
      <c r="B84" s="23">
        <v>45385.0</v>
      </c>
      <c r="C84" s="9" t="s">
        <v>176</v>
      </c>
      <c r="D84" s="9" t="s">
        <v>67</v>
      </c>
      <c r="E84" s="27">
        <v>134.55</v>
      </c>
      <c r="F84" s="18" t="s">
        <v>179</v>
      </c>
      <c r="G84" s="9" t="s">
        <v>67</v>
      </c>
      <c r="H84" s="17" t="s">
        <v>183</v>
      </c>
      <c r="I84" s="14" t="s">
        <v>178</v>
      </c>
    </row>
    <row r="85">
      <c r="A85" s="9" t="s">
        <v>9</v>
      </c>
      <c r="B85" s="23">
        <v>45385.0</v>
      </c>
      <c r="C85" s="9" t="s">
        <v>118</v>
      </c>
      <c r="D85" s="9" t="s">
        <v>67</v>
      </c>
      <c r="E85" s="27">
        <v>103.77</v>
      </c>
      <c r="F85" s="18" t="s">
        <v>179</v>
      </c>
      <c r="G85" s="9" t="s">
        <v>67</v>
      </c>
      <c r="H85" s="17" t="s">
        <v>185</v>
      </c>
      <c r="I85" s="14" t="s">
        <v>186</v>
      </c>
    </row>
    <row r="86">
      <c r="A86" s="9" t="s">
        <v>9</v>
      </c>
      <c r="B86" s="23">
        <v>45385.0</v>
      </c>
      <c r="C86" s="9" t="s">
        <v>92</v>
      </c>
      <c r="D86" s="9" t="s">
        <v>67</v>
      </c>
      <c r="E86" s="27">
        <v>233.78</v>
      </c>
      <c r="F86" s="18" t="s">
        <v>179</v>
      </c>
      <c r="G86" s="9" t="s">
        <v>67</v>
      </c>
      <c r="H86" s="17" t="s">
        <v>191</v>
      </c>
      <c r="I86" s="14" t="s">
        <v>192</v>
      </c>
    </row>
    <row r="87">
      <c r="A87" s="9" t="s">
        <v>9</v>
      </c>
      <c r="B87" s="23">
        <v>45387.0</v>
      </c>
      <c r="C87" s="9" t="s">
        <v>176</v>
      </c>
      <c r="D87" s="9" t="s">
        <v>69</v>
      </c>
      <c r="E87" s="15">
        <v>205.95</v>
      </c>
      <c r="F87" s="18" t="s">
        <v>179</v>
      </c>
      <c r="G87" s="9" t="s">
        <v>69</v>
      </c>
      <c r="H87" s="17" t="s">
        <v>199</v>
      </c>
      <c r="I87" s="14" t="s">
        <v>178</v>
      </c>
    </row>
    <row r="88">
      <c r="A88" s="9" t="s">
        <v>9</v>
      </c>
      <c r="B88" s="23">
        <v>45387.0</v>
      </c>
      <c r="C88" s="9" t="s">
        <v>118</v>
      </c>
      <c r="D88" s="9" t="s">
        <v>69</v>
      </c>
      <c r="E88" s="15">
        <v>54.72</v>
      </c>
      <c r="F88" s="18" t="s">
        <v>179</v>
      </c>
      <c r="G88" s="9" t="s">
        <v>69</v>
      </c>
      <c r="H88" s="17" t="s">
        <v>200</v>
      </c>
      <c r="I88" s="14" t="s">
        <v>201</v>
      </c>
    </row>
    <row r="89">
      <c r="A89" s="9" t="s">
        <v>9</v>
      </c>
      <c r="B89" s="23">
        <v>45387.0</v>
      </c>
      <c r="C89" s="9" t="s">
        <v>92</v>
      </c>
      <c r="D89" s="9" t="s">
        <v>69</v>
      </c>
      <c r="E89" s="15">
        <v>225.56</v>
      </c>
      <c r="F89" s="18" t="s">
        <v>179</v>
      </c>
      <c r="G89" s="9" t="s">
        <v>69</v>
      </c>
      <c r="H89" s="17" t="s">
        <v>202</v>
      </c>
      <c r="I89" s="14" t="s">
        <v>203</v>
      </c>
    </row>
    <row r="90">
      <c r="A90" s="9" t="s">
        <v>9</v>
      </c>
      <c r="B90" s="23">
        <v>45387.0</v>
      </c>
      <c r="C90" s="9" t="s">
        <v>10</v>
      </c>
      <c r="D90" s="9" t="s">
        <v>69</v>
      </c>
      <c r="E90" s="15">
        <v>41.16</v>
      </c>
      <c r="F90" s="18" t="s">
        <v>179</v>
      </c>
      <c r="G90" s="9" t="s">
        <v>69</v>
      </c>
      <c r="H90" s="17" t="s">
        <v>156</v>
      </c>
      <c r="I90" s="14" t="s">
        <v>204</v>
      </c>
    </row>
    <row r="91">
      <c r="A91" s="9" t="s">
        <v>9</v>
      </c>
      <c r="B91" s="23">
        <v>45390.0</v>
      </c>
      <c r="C91" s="9" t="s">
        <v>118</v>
      </c>
      <c r="D91" s="9" t="s">
        <v>108</v>
      </c>
      <c r="E91" s="27">
        <v>20.1</v>
      </c>
      <c r="F91" s="18" t="s">
        <v>167</v>
      </c>
      <c r="G91" s="9" t="s">
        <v>108</v>
      </c>
      <c r="H91" s="17" t="s">
        <v>205</v>
      </c>
      <c r="I91" s="14" t="s">
        <v>206</v>
      </c>
    </row>
    <row r="92">
      <c r="A92" s="9" t="s">
        <v>9</v>
      </c>
      <c r="B92" s="23">
        <v>45390.0</v>
      </c>
      <c r="C92" s="9" t="s">
        <v>92</v>
      </c>
      <c r="D92" s="9" t="s">
        <v>108</v>
      </c>
      <c r="E92" s="27">
        <v>145.23</v>
      </c>
      <c r="F92" s="18" t="s">
        <v>167</v>
      </c>
      <c r="G92" s="9" t="s">
        <v>108</v>
      </c>
      <c r="H92" s="17" t="s">
        <v>207</v>
      </c>
      <c r="I92" s="14" t="s">
        <v>208</v>
      </c>
    </row>
    <row r="93">
      <c r="A93" s="9" t="s">
        <v>9</v>
      </c>
      <c r="B93" s="23">
        <v>45390.0</v>
      </c>
      <c r="C93" s="9" t="s">
        <v>10</v>
      </c>
      <c r="D93" s="9" t="s">
        <v>108</v>
      </c>
      <c r="E93" s="27">
        <v>47.8</v>
      </c>
      <c r="F93" s="18" t="s">
        <v>167</v>
      </c>
      <c r="G93" s="9" t="s">
        <v>108</v>
      </c>
      <c r="H93" s="17" t="s">
        <v>210</v>
      </c>
      <c r="I93" s="14" t="s">
        <v>211</v>
      </c>
    </row>
    <row r="94">
      <c r="A94" s="9" t="s">
        <v>9</v>
      </c>
      <c r="B94" s="23">
        <v>45390.0</v>
      </c>
      <c r="C94" s="9" t="s">
        <v>176</v>
      </c>
      <c r="D94" s="9" t="s">
        <v>108</v>
      </c>
      <c r="E94" s="27">
        <v>238.79</v>
      </c>
      <c r="F94" s="18" t="s">
        <v>167</v>
      </c>
      <c r="G94" s="9" t="s">
        <v>108</v>
      </c>
      <c r="H94" s="17" t="s">
        <v>215</v>
      </c>
      <c r="I94" s="14" t="s">
        <v>178</v>
      </c>
    </row>
    <row r="95">
      <c r="A95" s="9" t="s">
        <v>9</v>
      </c>
      <c r="B95" s="23">
        <v>45392.0</v>
      </c>
      <c r="C95" s="9" t="s">
        <v>118</v>
      </c>
      <c r="D95" s="9" t="s">
        <v>113</v>
      </c>
      <c r="E95" s="27">
        <v>27.89</v>
      </c>
      <c r="F95" s="18" t="s">
        <v>97</v>
      </c>
      <c r="G95" s="9" t="s">
        <v>113</v>
      </c>
      <c r="H95" s="17" t="s">
        <v>220</v>
      </c>
      <c r="I95" s="14" t="s">
        <v>221</v>
      </c>
    </row>
    <row r="96">
      <c r="A96" s="9" t="s">
        <v>9</v>
      </c>
      <c r="B96" s="23">
        <v>45392.0</v>
      </c>
      <c r="C96" s="9" t="s">
        <v>92</v>
      </c>
      <c r="D96" s="9" t="s">
        <v>113</v>
      </c>
      <c r="E96" s="27">
        <v>210.0</v>
      </c>
      <c r="F96" s="18" t="s">
        <v>97</v>
      </c>
      <c r="G96" s="9" t="s">
        <v>113</v>
      </c>
      <c r="H96" s="17" t="s">
        <v>222</v>
      </c>
      <c r="I96" s="14" t="s">
        <v>125</v>
      </c>
    </row>
    <row r="97">
      <c r="A97" s="9" t="s">
        <v>9</v>
      </c>
      <c r="B97" s="23">
        <v>45392.0</v>
      </c>
      <c r="C97" s="9" t="s">
        <v>176</v>
      </c>
      <c r="D97" s="9" t="s">
        <v>113</v>
      </c>
      <c r="E97" s="15">
        <v>91.0</v>
      </c>
      <c r="F97" s="18" t="s">
        <v>97</v>
      </c>
      <c r="G97" s="9" t="s">
        <v>113</v>
      </c>
      <c r="H97" s="17" t="s">
        <v>223</v>
      </c>
      <c r="I97" s="14" t="s">
        <v>224</v>
      </c>
    </row>
    <row r="98">
      <c r="A98" s="9" t="s">
        <v>9</v>
      </c>
      <c r="B98" s="23">
        <v>45392.0</v>
      </c>
      <c r="C98" s="9" t="s">
        <v>10</v>
      </c>
      <c r="D98" s="9" t="s">
        <v>113</v>
      </c>
      <c r="E98" s="27">
        <v>16.8</v>
      </c>
      <c r="F98" s="18" t="s">
        <v>97</v>
      </c>
      <c r="G98" s="9" t="s">
        <v>113</v>
      </c>
      <c r="H98" s="17" t="s">
        <v>225</v>
      </c>
      <c r="I98" s="14" t="s">
        <v>226</v>
      </c>
    </row>
    <row r="99">
      <c r="A99" s="9" t="s">
        <v>9</v>
      </c>
      <c r="B99" s="23">
        <v>45394.0</v>
      </c>
      <c r="C99" s="9" t="s">
        <v>118</v>
      </c>
      <c r="D99" s="9" t="s">
        <v>227</v>
      </c>
      <c r="E99" s="27">
        <v>10.26</v>
      </c>
      <c r="F99" s="18" t="s">
        <v>58</v>
      </c>
      <c r="G99" s="9" t="s">
        <v>227</v>
      </c>
      <c r="H99" s="17" t="s">
        <v>228</v>
      </c>
      <c r="I99" s="14" t="s">
        <v>229</v>
      </c>
    </row>
    <row r="100">
      <c r="A100" s="9" t="s">
        <v>9</v>
      </c>
      <c r="B100" s="23">
        <v>45394.0</v>
      </c>
      <c r="C100" s="9" t="s">
        <v>92</v>
      </c>
      <c r="D100" s="9" t="s">
        <v>227</v>
      </c>
      <c r="E100" s="27">
        <v>180.06</v>
      </c>
      <c r="F100" s="18" t="s">
        <v>58</v>
      </c>
      <c r="G100" s="9" t="s">
        <v>227</v>
      </c>
      <c r="H100" s="17" t="s">
        <v>230</v>
      </c>
      <c r="I100" s="14" t="s">
        <v>125</v>
      </c>
    </row>
    <row r="101">
      <c r="A101" s="9" t="s">
        <v>9</v>
      </c>
      <c r="B101" s="23">
        <v>45394.0</v>
      </c>
      <c r="C101" s="9" t="s">
        <v>10</v>
      </c>
      <c r="D101" s="9" t="s">
        <v>227</v>
      </c>
      <c r="E101" s="27">
        <v>52.3</v>
      </c>
      <c r="F101" s="18" t="s">
        <v>58</v>
      </c>
      <c r="G101" s="9" t="s">
        <v>227</v>
      </c>
      <c r="H101" s="17" t="s">
        <v>210</v>
      </c>
      <c r="I101" s="14" t="s">
        <v>211</v>
      </c>
    </row>
    <row r="102">
      <c r="A102" s="9" t="s">
        <v>9</v>
      </c>
      <c r="B102" s="23">
        <v>45394.0</v>
      </c>
      <c r="C102" s="9" t="s">
        <v>176</v>
      </c>
      <c r="D102" s="9" t="s">
        <v>227</v>
      </c>
      <c r="E102" s="27">
        <v>191.1</v>
      </c>
      <c r="F102" s="18" t="s">
        <v>58</v>
      </c>
      <c r="G102" s="9" t="s">
        <v>227</v>
      </c>
      <c r="H102" s="17" t="s">
        <v>231</v>
      </c>
      <c r="I102" s="14" t="s">
        <v>224</v>
      </c>
    </row>
    <row r="103">
      <c r="A103" s="9" t="s">
        <v>9</v>
      </c>
      <c r="B103" s="23">
        <v>45397.0</v>
      </c>
      <c r="C103" s="9" t="s">
        <v>92</v>
      </c>
      <c r="D103" s="9" t="s">
        <v>232</v>
      </c>
      <c r="E103" s="27">
        <v>244.9</v>
      </c>
      <c r="F103" s="18" t="s">
        <v>142</v>
      </c>
      <c r="G103" s="9" t="s">
        <v>232</v>
      </c>
      <c r="H103" s="17" t="s">
        <v>233</v>
      </c>
      <c r="I103" s="14" t="s">
        <v>234</v>
      </c>
    </row>
    <row r="104">
      <c r="A104" s="9" t="s">
        <v>9</v>
      </c>
      <c r="B104" s="23">
        <v>45397.0</v>
      </c>
      <c r="C104" s="9" t="s">
        <v>176</v>
      </c>
      <c r="D104" s="9" t="s">
        <v>232</v>
      </c>
      <c r="E104" s="27">
        <v>200.6</v>
      </c>
      <c r="F104" s="18" t="s">
        <v>142</v>
      </c>
      <c r="G104" s="9" t="s">
        <v>232</v>
      </c>
      <c r="H104" s="17" t="s">
        <v>235</v>
      </c>
      <c r="I104" s="14" t="s">
        <v>236</v>
      </c>
    </row>
    <row r="105">
      <c r="A105" s="9" t="s">
        <v>9</v>
      </c>
      <c r="B105" s="23">
        <v>45397.0</v>
      </c>
      <c r="C105" s="9" t="s">
        <v>118</v>
      </c>
      <c r="D105" s="9" t="s">
        <v>232</v>
      </c>
      <c r="E105" s="27">
        <v>50.45</v>
      </c>
      <c r="F105" s="18" t="s">
        <v>142</v>
      </c>
      <c r="G105" s="9" t="s">
        <v>232</v>
      </c>
      <c r="H105" s="17" t="s">
        <v>237</v>
      </c>
      <c r="I105" s="14" t="s">
        <v>238</v>
      </c>
    </row>
    <row r="106">
      <c r="A106" s="9" t="s">
        <v>9</v>
      </c>
      <c r="B106" s="23">
        <v>45399.0</v>
      </c>
      <c r="C106" s="9" t="s">
        <v>92</v>
      </c>
      <c r="D106" s="9" t="s">
        <v>108</v>
      </c>
      <c r="E106" s="27">
        <v>193.86</v>
      </c>
      <c r="F106" s="18" t="s">
        <v>171</v>
      </c>
      <c r="G106" s="9" t="s">
        <v>108</v>
      </c>
      <c r="H106" s="17" t="s">
        <v>207</v>
      </c>
      <c r="I106" s="14" t="s">
        <v>239</v>
      </c>
    </row>
    <row r="107">
      <c r="A107" s="9" t="s">
        <v>9</v>
      </c>
      <c r="B107" s="23">
        <v>45399.0</v>
      </c>
      <c r="C107" s="9" t="s">
        <v>176</v>
      </c>
      <c r="D107" s="9" t="s">
        <v>108</v>
      </c>
      <c r="E107" s="27">
        <v>225.25</v>
      </c>
      <c r="F107" s="18" t="s">
        <v>171</v>
      </c>
      <c r="G107" s="9" t="s">
        <v>108</v>
      </c>
      <c r="H107" s="17" t="s">
        <v>240</v>
      </c>
      <c r="I107" s="14" t="s">
        <v>236</v>
      </c>
    </row>
    <row r="108">
      <c r="A108" s="9" t="s">
        <v>9</v>
      </c>
      <c r="B108" s="23">
        <v>45399.0</v>
      </c>
      <c r="C108" s="9" t="s">
        <v>118</v>
      </c>
      <c r="D108" s="9" t="s">
        <v>108</v>
      </c>
      <c r="E108" s="27">
        <v>56.11</v>
      </c>
      <c r="F108" s="18" t="s">
        <v>171</v>
      </c>
      <c r="G108" s="9" t="s">
        <v>108</v>
      </c>
      <c r="H108" s="17" t="s">
        <v>241</v>
      </c>
      <c r="I108" s="14" t="s">
        <v>242</v>
      </c>
    </row>
    <row r="109">
      <c r="A109" s="9" t="s">
        <v>9</v>
      </c>
      <c r="B109" s="10">
        <v>45401.0</v>
      </c>
      <c r="C109" s="9" t="s">
        <v>118</v>
      </c>
      <c r="D109" s="9" t="s">
        <v>113</v>
      </c>
      <c r="E109" s="27">
        <v>42.78</v>
      </c>
      <c r="F109" s="18" t="s">
        <v>171</v>
      </c>
      <c r="G109" s="9" t="s">
        <v>113</v>
      </c>
      <c r="H109" s="17" t="s">
        <v>220</v>
      </c>
      <c r="I109" s="14" t="s">
        <v>243</v>
      </c>
    </row>
    <row r="110">
      <c r="A110" s="9" t="s">
        <v>9</v>
      </c>
      <c r="B110" s="10">
        <v>45401.0</v>
      </c>
      <c r="C110" s="9" t="s">
        <v>92</v>
      </c>
      <c r="D110" s="9" t="s">
        <v>113</v>
      </c>
      <c r="E110" s="27">
        <v>255.35</v>
      </c>
      <c r="F110" s="18" t="s">
        <v>171</v>
      </c>
      <c r="G110" s="9" t="s">
        <v>113</v>
      </c>
      <c r="H110" s="17" t="s">
        <v>244</v>
      </c>
      <c r="I110" s="14" t="s">
        <v>239</v>
      </c>
    </row>
    <row r="111">
      <c r="A111" s="9" t="s">
        <v>9</v>
      </c>
      <c r="B111" s="10">
        <v>45401.0</v>
      </c>
      <c r="C111" s="9" t="s">
        <v>176</v>
      </c>
      <c r="D111" s="9" t="s">
        <v>113</v>
      </c>
      <c r="E111" s="27">
        <v>228.27</v>
      </c>
      <c r="F111" s="18" t="s">
        <v>171</v>
      </c>
      <c r="G111" s="9" t="s">
        <v>113</v>
      </c>
      <c r="H111" s="17" t="s">
        <v>246</v>
      </c>
      <c r="I111" s="14" t="s">
        <v>236</v>
      </c>
    </row>
    <row r="112">
      <c r="A112" s="9" t="s">
        <v>9</v>
      </c>
      <c r="B112" s="23">
        <v>45404.0</v>
      </c>
      <c r="C112" s="9" t="s">
        <v>118</v>
      </c>
      <c r="D112" s="9" t="s">
        <v>227</v>
      </c>
      <c r="E112" s="27">
        <v>58.56</v>
      </c>
      <c r="F112" s="18" t="s">
        <v>142</v>
      </c>
      <c r="G112" s="9" t="s">
        <v>227</v>
      </c>
      <c r="H112" s="17" t="s">
        <v>220</v>
      </c>
      <c r="I112" s="14" t="s">
        <v>247</v>
      </c>
    </row>
    <row r="113">
      <c r="A113" s="9" t="s">
        <v>9</v>
      </c>
      <c r="B113" s="23">
        <v>45404.0</v>
      </c>
      <c r="C113" s="9" t="s">
        <v>92</v>
      </c>
      <c r="D113" s="9" t="s">
        <v>227</v>
      </c>
      <c r="E113" s="27">
        <v>188.75</v>
      </c>
      <c r="F113" s="18" t="s">
        <v>142</v>
      </c>
      <c r="G113" s="9" t="s">
        <v>227</v>
      </c>
      <c r="H113" s="17" t="s">
        <v>248</v>
      </c>
      <c r="I113" s="14" t="s">
        <v>239</v>
      </c>
    </row>
    <row r="114">
      <c r="A114" s="9" t="s">
        <v>9</v>
      </c>
      <c r="B114" s="23">
        <v>45404.0</v>
      </c>
      <c r="C114" s="9" t="s">
        <v>176</v>
      </c>
      <c r="D114" s="9" t="s">
        <v>227</v>
      </c>
      <c r="E114" s="27">
        <v>268.97</v>
      </c>
      <c r="F114" s="18" t="s">
        <v>142</v>
      </c>
      <c r="G114" s="9" t="s">
        <v>227</v>
      </c>
      <c r="H114" s="17" t="s">
        <v>249</v>
      </c>
      <c r="I114" s="14" t="s">
        <v>236</v>
      </c>
    </row>
    <row r="115">
      <c r="A115" s="9" t="s">
        <v>9</v>
      </c>
      <c r="B115" s="23">
        <v>45406.0</v>
      </c>
      <c r="C115" s="9" t="s">
        <v>176</v>
      </c>
      <c r="D115" s="9" t="s">
        <v>232</v>
      </c>
      <c r="E115" s="27">
        <v>189.9</v>
      </c>
      <c r="F115" s="18" t="s">
        <v>142</v>
      </c>
      <c r="G115" s="9" t="s">
        <v>232</v>
      </c>
      <c r="H115" s="17" t="s">
        <v>250</v>
      </c>
      <c r="I115" s="14" t="s">
        <v>236</v>
      </c>
    </row>
    <row r="116">
      <c r="A116" s="9" t="s">
        <v>9</v>
      </c>
      <c r="B116" s="23">
        <v>45406.0</v>
      </c>
      <c r="C116" s="9" t="s">
        <v>92</v>
      </c>
      <c r="D116" s="9" t="s">
        <v>232</v>
      </c>
      <c r="E116" s="27">
        <v>224.65</v>
      </c>
      <c r="F116" s="16" t="s">
        <v>142</v>
      </c>
      <c r="G116" s="9" t="s">
        <v>227</v>
      </c>
      <c r="H116" s="17" t="s">
        <v>233</v>
      </c>
      <c r="I116" s="14" t="s">
        <v>239</v>
      </c>
      <c r="N116" s="7"/>
      <c r="O116" s="7"/>
    </row>
    <row r="117">
      <c r="A117" s="9" t="s">
        <v>9</v>
      </c>
      <c r="B117" s="23">
        <v>45408.0</v>
      </c>
      <c r="C117" s="9" t="s">
        <v>176</v>
      </c>
      <c r="D117" s="9" t="s">
        <v>108</v>
      </c>
      <c r="E117" s="27">
        <v>261.6</v>
      </c>
      <c r="F117" s="18" t="s">
        <v>142</v>
      </c>
      <c r="G117" s="9" t="s">
        <v>108</v>
      </c>
      <c r="H117" s="17" t="s">
        <v>251</v>
      </c>
      <c r="I117" s="14" t="s">
        <v>252</v>
      </c>
      <c r="N117" s="7"/>
      <c r="O117" s="7"/>
    </row>
    <row r="118">
      <c r="A118" s="9" t="s">
        <v>9</v>
      </c>
      <c r="B118" s="23">
        <v>45408.0</v>
      </c>
      <c r="C118" s="9" t="s">
        <v>92</v>
      </c>
      <c r="D118" s="9" t="s">
        <v>108</v>
      </c>
      <c r="E118" s="27">
        <v>104.45</v>
      </c>
      <c r="F118" s="18" t="s">
        <v>142</v>
      </c>
      <c r="G118" s="9" t="s">
        <v>108</v>
      </c>
      <c r="H118" s="17" t="s">
        <v>253</v>
      </c>
      <c r="I118" s="14" t="s">
        <v>239</v>
      </c>
    </row>
    <row r="119">
      <c r="A119" s="9" t="s">
        <v>9</v>
      </c>
      <c r="B119" s="23">
        <v>45411.0</v>
      </c>
      <c r="C119" s="9" t="s">
        <v>118</v>
      </c>
      <c r="D119" s="9">
        <v>4.0</v>
      </c>
      <c r="E119" s="27">
        <v>67.8</v>
      </c>
      <c r="F119" s="18" t="s">
        <v>142</v>
      </c>
      <c r="G119" s="9">
        <v>4.0</v>
      </c>
      <c r="H119" s="17" t="s">
        <v>254</v>
      </c>
      <c r="I119" s="14" t="s">
        <v>173</v>
      </c>
    </row>
    <row r="120">
      <c r="A120" s="9" t="s">
        <v>9</v>
      </c>
      <c r="B120" s="23">
        <v>45411.0</v>
      </c>
      <c r="C120" s="9" t="s">
        <v>92</v>
      </c>
      <c r="D120" s="9">
        <v>4.0</v>
      </c>
      <c r="E120" s="27">
        <v>272.7</v>
      </c>
      <c r="F120" s="18" t="s">
        <v>142</v>
      </c>
      <c r="G120" s="9">
        <v>4.0</v>
      </c>
      <c r="H120" s="17" t="s">
        <v>255</v>
      </c>
      <c r="I120" s="14" t="s">
        <v>239</v>
      </c>
    </row>
    <row r="121">
      <c r="A121" s="9" t="s">
        <v>9</v>
      </c>
      <c r="B121" s="23">
        <v>45411.0</v>
      </c>
      <c r="C121" s="9" t="s">
        <v>176</v>
      </c>
      <c r="D121" s="9">
        <v>4.0</v>
      </c>
      <c r="E121" s="27">
        <v>357.5</v>
      </c>
      <c r="F121" s="18" t="s">
        <v>142</v>
      </c>
      <c r="G121" s="9">
        <v>4.0</v>
      </c>
      <c r="H121" s="17" t="s">
        <v>256</v>
      </c>
      <c r="I121" s="14" t="s">
        <v>236</v>
      </c>
    </row>
    <row r="122">
      <c r="A122" s="9" t="s">
        <v>9</v>
      </c>
      <c r="B122" s="23">
        <v>45414.0</v>
      </c>
      <c r="C122" s="9" t="s">
        <v>176</v>
      </c>
      <c r="D122" s="9" t="s">
        <v>113</v>
      </c>
      <c r="E122" s="27">
        <v>212.3</v>
      </c>
      <c r="F122" s="18" t="s">
        <v>167</v>
      </c>
      <c r="G122" s="9" t="s">
        <v>113</v>
      </c>
      <c r="H122" s="17" t="s">
        <v>257</v>
      </c>
      <c r="I122" s="14" t="s">
        <v>258</v>
      </c>
    </row>
    <row r="123">
      <c r="A123" s="9" t="s">
        <v>9</v>
      </c>
      <c r="B123" s="23">
        <v>45414.0</v>
      </c>
      <c r="C123" s="9" t="s">
        <v>92</v>
      </c>
      <c r="D123" s="9" t="s">
        <v>113</v>
      </c>
      <c r="E123" s="27">
        <v>220.75</v>
      </c>
      <c r="F123" s="18" t="s">
        <v>167</v>
      </c>
      <c r="G123" s="9" t="s">
        <v>113</v>
      </c>
      <c r="H123" s="17" t="s">
        <v>259</v>
      </c>
      <c r="I123" s="14" t="s">
        <v>239</v>
      </c>
      <c r="N123" s="18"/>
      <c r="O123" s="7"/>
    </row>
    <row r="124">
      <c r="A124" s="9" t="s">
        <v>9</v>
      </c>
      <c r="B124" s="23">
        <v>45414.0</v>
      </c>
      <c r="C124" s="9" t="s">
        <v>118</v>
      </c>
      <c r="D124" s="9" t="s">
        <v>113</v>
      </c>
      <c r="E124" s="27">
        <v>46.01</v>
      </c>
      <c r="F124" s="18" t="s">
        <v>167</v>
      </c>
      <c r="G124" s="9" t="s">
        <v>113</v>
      </c>
      <c r="H124" s="17" t="s">
        <v>260</v>
      </c>
      <c r="I124" s="14" t="s">
        <v>261</v>
      </c>
      <c r="N124" s="18"/>
      <c r="O124" s="7"/>
    </row>
    <row r="125">
      <c r="A125" s="9" t="s">
        <v>9</v>
      </c>
      <c r="B125" s="23">
        <v>45415.0</v>
      </c>
      <c r="C125" s="9" t="s">
        <v>118</v>
      </c>
      <c r="D125" s="9" t="s">
        <v>227</v>
      </c>
      <c r="E125" s="27">
        <v>96.76</v>
      </c>
      <c r="F125" s="18" t="s">
        <v>262</v>
      </c>
      <c r="G125" s="9" t="s">
        <v>227</v>
      </c>
      <c r="H125" s="17" t="s">
        <v>263</v>
      </c>
      <c r="I125" s="14" t="s">
        <v>264</v>
      </c>
      <c r="N125" s="18"/>
      <c r="O125" s="7"/>
    </row>
    <row r="126">
      <c r="A126" s="9" t="s">
        <v>9</v>
      </c>
      <c r="B126" s="23">
        <v>45415.0</v>
      </c>
      <c r="C126" s="9" t="s">
        <v>92</v>
      </c>
      <c r="D126" s="9" t="s">
        <v>227</v>
      </c>
      <c r="E126" s="27">
        <v>158.56</v>
      </c>
      <c r="F126" s="18" t="s">
        <v>262</v>
      </c>
      <c r="G126" s="9" t="s">
        <v>227</v>
      </c>
      <c r="H126" s="17" t="s">
        <v>265</v>
      </c>
      <c r="I126" s="44" t="s">
        <v>266</v>
      </c>
      <c r="N126" s="18"/>
      <c r="O126" s="7"/>
    </row>
    <row r="127">
      <c r="A127" s="9" t="s">
        <v>9</v>
      </c>
      <c r="B127" s="23">
        <v>45415.0</v>
      </c>
      <c r="C127" s="9" t="s">
        <v>176</v>
      </c>
      <c r="D127" s="9" t="s">
        <v>227</v>
      </c>
      <c r="E127" s="27">
        <v>110.2</v>
      </c>
      <c r="F127" s="18" t="s">
        <v>262</v>
      </c>
      <c r="G127" s="9" t="s">
        <v>227</v>
      </c>
      <c r="H127" s="17" t="s">
        <v>267</v>
      </c>
      <c r="I127" s="14" t="s">
        <v>268</v>
      </c>
      <c r="N127" s="18"/>
      <c r="O127" s="7"/>
    </row>
    <row r="128">
      <c r="A128" s="9" t="s">
        <v>9</v>
      </c>
      <c r="B128" s="23">
        <v>45418.0</v>
      </c>
      <c r="C128" s="9" t="s">
        <v>92</v>
      </c>
      <c r="D128" s="9" t="s">
        <v>232</v>
      </c>
      <c r="E128" s="27">
        <v>113.96</v>
      </c>
      <c r="F128" s="18" t="s">
        <v>269</v>
      </c>
      <c r="G128" s="9" t="s">
        <v>232</v>
      </c>
      <c r="H128" s="17" t="s">
        <v>270</v>
      </c>
      <c r="I128" s="14" t="s">
        <v>271</v>
      </c>
      <c r="N128" s="18"/>
      <c r="O128" s="7"/>
    </row>
    <row r="129">
      <c r="A129" s="9" t="s">
        <v>9</v>
      </c>
      <c r="B129" s="23">
        <v>45418.0</v>
      </c>
      <c r="C129" s="9" t="s">
        <v>176</v>
      </c>
      <c r="D129" s="9" t="s">
        <v>232</v>
      </c>
      <c r="E129" s="27">
        <v>309.65</v>
      </c>
      <c r="F129" s="18" t="s">
        <v>269</v>
      </c>
      <c r="G129" s="9" t="s">
        <v>232</v>
      </c>
      <c r="H129" s="17" t="s">
        <v>272</v>
      </c>
      <c r="I129" s="14" t="s">
        <v>273</v>
      </c>
      <c r="N129" s="18"/>
      <c r="O129" s="7"/>
    </row>
    <row r="130">
      <c r="A130" s="9" t="s">
        <v>9</v>
      </c>
      <c r="B130" s="23">
        <v>45420.0</v>
      </c>
      <c r="C130" s="9" t="s">
        <v>176</v>
      </c>
      <c r="D130" s="9" t="s">
        <v>11</v>
      </c>
      <c r="E130" s="15">
        <v>146.88</v>
      </c>
      <c r="F130" s="18">
        <v>0.0</v>
      </c>
      <c r="G130" s="9" t="s">
        <v>11</v>
      </c>
      <c r="H130" s="17" t="s">
        <v>274</v>
      </c>
      <c r="I130" s="14" t="s">
        <v>275</v>
      </c>
      <c r="N130" s="18"/>
      <c r="O130" s="7"/>
    </row>
    <row r="131">
      <c r="A131" s="9" t="s">
        <v>9</v>
      </c>
      <c r="B131" s="23">
        <v>45420.0</v>
      </c>
      <c r="C131" s="9" t="s">
        <v>92</v>
      </c>
      <c r="D131" s="9" t="s">
        <v>11</v>
      </c>
      <c r="E131" s="15">
        <v>215.47</v>
      </c>
      <c r="F131" s="18">
        <v>0.0</v>
      </c>
      <c r="G131" s="9" t="s">
        <v>11</v>
      </c>
      <c r="H131" s="17" t="s">
        <v>277</v>
      </c>
      <c r="I131" s="14" t="s">
        <v>278</v>
      </c>
      <c r="N131" s="18"/>
      <c r="O131" s="7"/>
    </row>
    <row r="132">
      <c r="A132" s="9" t="s">
        <v>9</v>
      </c>
      <c r="B132" s="23">
        <v>45422.0</v>
      </c>
      <c r="C132" s="9" t="s">
        <v>92</v>
      </c>
      <c r="D132" s="9" t="s">
        <v>15</v>
      </c>
      <c r="E132" s="15">
        <v>275.01</v>
      </c>
      <c r="F132" s="18" t="s">
        <v>281</v>
      </c>
      <c r="G132" s="9" t="s">
        <v>15</v>
      </c>
      <c r="H132" s="17" t="s">
        <v>283</v>
      </c>
      <c r="I132" s="14" t="s">
        <v>273</v>
      </c>
      <c r="N132" s="18"/>
      <c r="O132" s="7"/>
    </row>
    <row r="133">
      <c r="A133" s="9" t="s">
        <v>9</v>
      </c>
      <c r="B133" s="23">
        <v>45422.0</v>
      </c>
      <c r="C133" s="9" t="s">
        <v>176</v>
      </c>
      <c r="D133" s="9" t="s">
        <v>15</v>
      </c>
      <c r="E133" s="15">
        <v>157.9</v>
      </c>
      <c r="F133" s="18" t="s">
        <v>281</v>
      </c>
      <c r="G133" s="9" t="s">
        <v>15</v>
      </c>
      <c r="H133" s="17" t="s">
        <v>274</v>
      </c>
      <c r="I133" s="14" t="s">
        <v>81</v>
      </c>
      <c r="N133" s="18"/>
      <c r="O133" s="7"/>
    </row>
    <row r="134">
      <c r="A134" s="9" t="s">
        <v>9</v>
      </c>
      <c r="B134" s="23">
        <v>45422.0</v>
      </c>
      <c r="C134" s="9" t="s">
        <v>126</v>
      </c>
      <c r="D134" s="9" t="s">
        <v>15</v>
      </c>
      <c r="E134" s="15">
        <v>9.87</v>
      </c>
      <c r="F134" s="18" t="s">
        <v>281</v>
      </c>
      <c r="G134" s="9" t="s">
        <v>15</v>
      </c>
      <c r="H134" s="17" t="s">
        <v>290</v>
      </c>
      <c r="I134" s="14" t="s">
        <v>128</v>
      </c>
      <c r="N134" s="18"/>
      <c r="O134" s="7"/>
    </row>
    <row r="135">
      <c r="A135" s="9" t="s">
        <v>9</v>
      </c>
      <c r="B135" s="23">
        <v>45425.0</v>
      </c>
      <c r="C135" s="9" t="s">
        <v>118</v>
      </c>
      <c r="D135" s="9">
        <v>4.0</v>
      </c>
      <c r="E135" s="15">
        <v>69.87</v>
      </c>
      <c r="F135" s="18" t="s">
        <v>291</v>
      </c>
      <c r="G135" s="9">
        <v>4.0</v>
      </c>
      <c r="H135" s="17" t="s">
        <v>292</v>
      </c>
      <c r="I135" s="14" t="s">
        <v>293</v>
      </c>
      <c r="N135" s="18"/>
      <c r="O135" s="7"/>
    </row>
    <row r="136">
      <c r="A136" s="9" t="s">
        <v>9</v>
      </c>
      <c r="B136" s="23">
        <v>45425.0</v>
      </c>
      <c r="C136" s="9" t="s">
        <v>92</v>
      </c>
      <c r="D136" s="9">
        <v>4.0</v>
      </c>
      <c r="E136" s="15">
        <v>358.97</v>
      </c>
      <c r="F136" s="18" t="s">
        <v>291</v>
      </c>
      <c r="G136" s="9">
        <v>4.0</v>
      </c>
      <c r="H136" s="17" t="s">
        <v>294</v>
      </c>
      <c r="I136" s="14" t="s">
        <v>295</v>
      </c>
      <c r="N136" s="18"/>
      <c r="O136" s="7"/>
    </row>
    <row r="137">
      <c r="A137" s="9" t="s">
        <v>9</v>
      </c>
      <c r="B137" s="23">
        <v>45425.0</v>
      </c>
      <c r="C137" s="9" t="s">
        <v>176</v>
      </c>
      <c r="D137" s="9">
        <v>4.0</v>
      </c>
      <c r="E137" s="15">
        <v>226.3</v>
      </c>
      <c r="F137" s="18" t="s">
        <v>291</v>
      </c>
      <c r="G137" s="9">
        <v>4.0</v>
      </c>
      <c r="H137" s="17" t="s">
        <v>297</v>
      </c>
      <c r="I137" s="14" t="s">
        <v>81</v>
      </c>
      <c r="N137" s="18"/>
      <c r="O137" s="7"/>
    </row>
    <row r="138">
      <c r="A138" s="9" t="s">
        <v>9</v>
      </c>
      <c r="B138" s="23">
        <v>45427.0</v>
      </c>
      <c r="C138" s="9" t="s">
        <v>176</v>
      </c>
      <c r="D138" s="9" t="s">
        <v>11</v>
      </c>
      <c r="E138" s="15">
        <v>120.75</v>
      </c>
      <c r="F138" s="18" t="s">
        <v>142</v>
      </c>
      <c r="G138" s="9" t="s">
        <v>11</v>
      </c>
      <c r="H138" s="17" t="s">
        <v>298</v>
      </c>
      <c r="I138" s="14" t="s">
        <v>299</v>
      </c>
      <c r="N138" s="18"/>
      <c r="O138" s="7"/>
    </row>
    <row r="139">
      <c r="A139" s="9" t="s">
        <v>9</v>
      </c>
      <c r="B139" s="23">
        <v>45427.0</v>
      </c>
      <c r="C139" s="9" t="s">
        <v>92</v>
      </c>
      <c r="D139" s="9" t="s">
        <v>11</v>
      </c>
      <c r="E139" s="15">
        <v>241.06</v>
      </c>
      <c r="F139" s="18" t="s">
        <v>142</v>
      </c>
      <c r="G139" s="9" t="s">
        <v>11</v>
      </c>
      <c r="H139" s="17" t="s">
        <v>300</v>
      </c>
      <c r="I139" s="14" t="s">
        <v>278</v>
      </c>
      <c r="N139" s="18"/>
      <c r="O139" s="7"/>
    </row>
    <row r="140">
      <c r="A140" s="9" t="s">
        <v>9</v>
      </c>
      <c r="B140" s="23">
        <v>45429.0</v>
      </c>
      <c r="C140" s="9" t="s">
        <v>176</v>
      </c>
      <c r="D140" s="9" t="s">
        <v>15</v>
      </c>
      <c r="E140" s="15">
        <v>98.24</v>
      </c>
      <c r="F140" s="18" t="s">
        <v>97</v>
      </c>
      <c r="G140" s="9" t="s">
        <v>15</v>
      </c>
      <c r="H140" s="17" t="s">
        <v>301</v>
      </c>
      <c r="I140" s="14" t="s">
        <v>302</v>
      </c>
      <c r="N140" s="18"/>
      <c r="O140" s="7"/>
    </row>
    <row r="141">
      <c r="A141" s="9" t="s">
        <v>9</v>
      </c>
      <c r="B141" s="23">
        <v>45429.0</v>
      </c>
      <c r="C141" s="9" t="s">
        <v>92</v>
      </c>
      <c r="D141" s="9" t="s">
        <v>15</v>
      </c>
      <c r="E141" s="15">
        <v>206.74</v>
      </c>
      <c r="F141" s="18" t="s">
        <v>97</v>
      </c>
      <c r="G141" s="9" t="s">
        <v>15</v>
      </c>
      <c r="H141" s="17" t="s">
        <v>305</v>
      </c>
      <c r="I141" s="14" t="s">
        <v>278</v>
      </c>
      <c r="N141" s="18"/>
      <c r="O141" s="7"/>
    </row>
    <row r="142">
      <c r="A142" s="9" t="s">
        <v>9</v>
      </c>
      <c r="B142" s="23">
        <v>45429.0</v>
      </c>
      <c r="C142" s="9" t="s">
        <v>126</v>
      </c>
      <c r="D142" s="9" t="s">
        <v>15</v>
      </c>
      <c r="E142" s="15">
        <v>8.56</v>
      </c>
      <c r="F142" s="18" t="s">
        <v>97</v>
      </c>
      <c r="G142" s="9" t="s">
        <v>15</v>
      </c>
      <c r="H142" s="17" t="s">
        <v>290</v>
      </c>
      <c r="I142" s="14" t="s">
        <v>128</v>
      </c>
      <c r="N142" s="18"/>
      <c r="O142" s="7"/>
    </row>
    <row r="143">
      <c r="A143" s="9" t="s">
        <v>50</v>
      </c>
      <c r="B143" s="23">
        <v>45432.0</v>
      </c>
      <c r="C143" s="9" t="s">
        <v>92</v>
      </c>
      <c r="D143" s="9" t="s">
        <v>227</v>
      </c>
      <c r="E143" s="15">
        <v>178.96</v>
      </c>
      <c r="F143" s="18" t="s">
        <v>262</v>
      </c>
      <c r="G143" s="9" t="s">
        <v>227</v>
      </c>
      <c r="H143" s="17" t="s">
        <v>307</v>
      </c>
      <c r="I143" s="14" t="s">
        <v>308</v>
      </c>
      <c r="N143" s="18"/>
      <c r="O143" s="7"/>
    </row>
    <row r="144">
      <c r="A144" s="9" t="s">
        <v>50</v>
      </c>
      <c r="B144" s="23">
        <v>45432.0</v>
      </c>
      <c r="C144" s="9" t="s">
        <v>176</v>
      </c>
      <c r="D144" s="9" t="s">
        <v>227</v>
      </c>
      <c r="E144" s="15">
        <v>113.76</v>
      </c>
      <c r="F144" s="18" t="s">
        <v>262</v>
      </c>
      <c r="G144" s="9" t="s">
        <v>227</v>
      </c>
      <c r="H144" s="17" t="s">
        <v>309</v>
      </c>
      <c r="I144" s="14" t="s">
        <v>310</v>
      </c>
      <c r="N144" s="18"/>
      <c r="O144" s="7"/>
    </row>
    <row r="145">
      <c r="A145" s="9" t="s">
        <v>50</v>
      </c>
      <c r="B145" s="23">
        <v>45432.0</v>
      </c>
      <c r="C145" s="9" t="s">
        <v>118</v>
      </c>
      <c r="D145" s="9" t="s">
        <v>227</v>
      </c>
      <c r="E145" s="15">
        <v>71.2</v>
      </c>
      <c r="F145" s="18" t="s">
        <v>262</v>
      </c>
      <c r="G145" s="9" t="s">
        <v>227</v>
      </c>
      <c r="H145" s="17" t="s">
        <v>311</v>
      </c>
      <c r="I145" s="14" t="s">
        <v>128</v>
      </c>
      <c r="N145" s="18"/>
      <c r="O145" s="7"/>
    </row>
    <row r="146">
      <c r="A146" s="9" t="s">
        <v>47</v>
      </c>
      <c r="B146" s="23">
        <v>45434.0</v>
      </c>
      <c r="C146" s="9" t="s">
        <v>118</v>
      </c>
      <c r="D146" s="9" t="s">
        <v>232</v>
      </c>
      <c r="E146" s="15">
        <v>53.8</v>
      </c>
      <c r="F146" s="18" t="s">
        <v>262</v>
      </c>
      <c r="G146" s="9" t="s">
        <v>232</v>
      </c>
      <c r="H146" s="17" t="s">
        <v>237</v>
      </c>
      <c r="I146" s="14" t="s">
        <v>128</v>
      </c>
      <c r="N146" s="18"/>
      <c r="O146" s="7"/>
    </row>
    <row r="147">
      <c r="A147" s="9" t="s">
        <v>47</v>
      </c>
      <c r="B147" s="23">
        <v>45434.0</v>
      </c>
      <c r="C147" s="9" t="s">
        <v>92</v>
      </c>
      <c r="D147" s="9" t="s">
        <v>232</v>
      </c>
      <c r="E147" s="15">
        <v>137.2</v>
      </c>
      <c r="F147" s="18" t="s">
        <v>262</v>
      </c>
      <c r="G147" s="9" t="s">
        <v>232</v>
      </c>
      <c r="H147" s="17" t="s">
        <v>313</v>
      </c>
      <c r="I147" s="14" t="s">
        <v>315</v>
      </c>
      <c r="N147" s="18"/>
      <c r="O147" s="7"/>
    </row>
    <row r="148">
      <c r="A148" s="9" t="s">
        <v>47</v>
      </c>
      <c r="B148" s="23">
        <v>45434.0</v>
      </c>
      <c r="C148" s="9" t="s">
        <v>176</v>
      </c>
      <c r="D148" s="9" t="s">
        <v>232</v>
      </c>
      <c r="E148" s="15">
        <v>143.55</v>
      </c>
      <c r="F148" s="18" t="s">
        <v>262</v>
      </c>
      <c r="G148" s="9" t="s">
        <v>232</v>
      </c>
      <c r="H148" s="17" t="s">
        <v>298</v>
      </c>
      <c r="I148" s="14" t="s">
        <v>316</v>
      </c>
      <c r="N148" s="18"/>
      <c r="O148" s="7"/>
    </row>
    <row r="149">
      <c r="A149" s="9" t="s">
        <v>47</v>
      </c>
      <c r="B149" s="23">
        <v>45436.0</v>
      </c>
      <c r="C149" s="9" t="s">
        <v>118</v>
      </c>
      <c r="D149" s="9" t="s">
        <v>11</v>
      </c>
      <c r="E149" s="15">
        <v>69.35</v>
      </c>
      <c r="F149" s="18" t="s">
        <v>171</v>
      </c>
      <c r="G149" s="9" t="s">
        <v>11</v>
      </c>
      <c r="H149" s="17" t="s">
        <v>241</v>
      </c>
      <c r="I149" s="14" t="s">
        <v>128</v>
      </c>
      <c r="N149" s="18"/>
      <c r="O149" s="7"/>
    </row>
    <row r="150">
      <c r="A150" s="9" t="s">
        <v>47</v>
      </c>
      <c r="B150" s="23">
        <v>45436.0</v>
      </c>
      <c r="C150" s="9" t="s">
        <v>176</v>
      </c>
      <c r="D150" s="9" t="s">
        <v>11</v>
      </c>
      <c r="E150" s="15">
        <v>194.95</v>
      </c>
      <c r="F150" s="18" t="s">
        <v>171</v>
      </c>
      <c r="G150" s="9" t="s">
        <v>11</v>
      </c>
      <c r="H150" s="17" t="s">
        <v>249</v>
      </c>
      <c r="I150" s="14" t="s">
        <v>308</v>
      </c>
      <c r="N150" s="18"/>
      <c r="O150" s="7"/>
    </row>
    <row r="151">
      <c r="A151" s="9" t="s">
        <v>47</v>
      </c>
      <c r="B151" s="23">
        <v>45436.0</v>
      </c>
      <c r="C151" s="9" t="s">
        <v>92</v>
      </c>
      <c r="D151" s="9" t="s">
        <v>11</v>
      </c>
      <c r="E151" s="15">
        <v>249.0</v>
      </c>
      <c r="F151" s="18" t="s">
        <v>171</v>
      </c>
      <c r="G151" s="9" t="s">
        <v>11</v>
      </c>
      <c r="H151" s="17" t="s">
        <v>318</v>
      </c>
      <c r="I151" s="14" t="s">
        <v>315</v>
      </c>
      <c r="N151" s="18"/>
      <c r="O151" s="7"/>
    </row>
    <row r="152">
      <c r="A152" s="9" t="s">
        <v>9</v>
      </c>
      <c r="B152" s="23">
        <v>45439.0</v>
      </c>
      <c r="C152" s="9" t="s">
        <v>92</v>
      </c>
      <c r="D152" s="9" t="s">
        <v>15</v>
      </c>
      <c r="E152" s="15">
        <v>270.75</v>
      </c>
      <c r="F152" s="18" t="s">
        <v>171</v>
      </c>
      <c r="G152" s="9" t="s">
        <v>15</v>
      </c>
      <c r="H152" s="17" t="s">
        <v>318</v>
      </c>
      <c r="I152" s="14" t="s">
        <v>319</v>
      </c>
      <c r="N152" s="18"/>
      <c r="O152" s="7"/>
    </row>
    <row r="153">
      <c r="A153" s="9" t="s">
        <v>9</v>
      </c>
      <c r="B153" s="23">
        <v>45439.0</v>
      </c>
      <c r="C153" s="9" t="s">
        <v>176</v>
      </c>
      <c r="D153" s="9" t="s">
        <v>15</v>
      </c>
      <c r="E153" s="15">
        <v>207.75</v>
      </c>
      <c r="F153" s="18" t="s">
        <v>171</v>
      </c>
      <c r="G153" s="9" t="s">
        <v>15</v>
      </c>
      <c r="H153" s="17" t="s">
        <v>309</v>
      </c>
      <c r="I153" s="14" t="s">
        <v>308</v>
      </c>
      <c r="N153" s="18"/>
      <c r="O153" s="7"/>
    </row>
    <row r="154">
      <c r="A154" s="9" t="s">
        <v>9</v>
      </c>
      <c r="B154" s="23">
        <v>45439.0</v>
      </c>
      <c r="C154" s="9" t="s">
        <v>189</v>
      </c>
      <c r="D154" s="9" t="s">
        <v>15</v>
      </c>
      <c r="E154" s="15">
        <v>80.05</v>
      </c>
      <c r="F154" s="18" t="s">
        <v>171</v>
      </c>
      <c r="G154" s="9" t="s">
        <v>15</v>
      </c>
      <c r="H154" s="17" t="s">
        <v>321</v>
      </c>
      <c r="I154" s="14" t="s">
        <v>322</v>
      </c>
      <c r="N154" s="18"/>
      <c r="O154" s="7"/>
    </row>
    <row r="155">
      <c r="A155" s="9" t="s">
        <v>9</v>
      </c>
      <c r="B155" s="23">
        <v>45441.0</v>
      </c>
      <c r="C155" s="9" t="s">
        <v>176</v>
      </c>
      <c r="D155" s="9" t="s">
        <v>227</v>
      </c>
      <c r="E155" s="27">
        <v>74.24</v>
      </c>
      <c r="F155" s="18" t="s">
        <v>262</v>
      </c>
      <c r="G155" s="9" t="s">
        <v>227</v>
      </c>
      <c r="H155" s="17" t="s">
        <v>323</v>
      </c>
      <c r="I155" s="14" t="s">
        <v>308</v>
      </c>
      <c r="N155" s="18"/>
      <c r="O155" s="7"/>
    </row>
    <row r="156">
      <c r="A156" s="9" t="s">
        <v>9</v>
      </c>
      <c r="B156" s="23">
        <v>45441.0</v>
      </c>
      <c r="C156" s="9" t="s">
        <v>189</v>
      </c>
      <c r="D156" s="9" t="s">
        <v>227</v>
      </c>
      <c r="E156" s="27">
        <v>46.05</v>
      </c>
      <c r="F156" s="18" t="s">
        <v>262</v>
      </c>
      <c r="G156" s="9" t="s">
        <v>227</v>
      </c>
      <c r="H156" s="17" t="s">
        <v>324</v>
      </c>
      <c r="I156" s="14" t="s">
        <v>325</v>
      </c>
      <c r="N156" s="18"/>
      <c r="O156" s="7"/>
    </row>
    <row r="157">
      <c r="A157" s="9" t="s">
        <v>9</v>
      </c>
      <c r="B157" s="23">
        <v>45441.0</v>
      </c>
      <c r="C157" s="9" t="s">
        <v>92</v>
      </c>
      <c r="D157" s="9" t="s">
        <v>227</v>
      </c>
      <c r="E157" s="27">
        <v>238.3</v>
      </c>
      <c r="F157" s="18" t="s">
        <v>262</v>
      </c>
      <c r="G157" s="9" t="s">
        <v>227</v>
      </c>
      <c r="H157" s="17" t="s">
        <v>326</v>
      </c>
      <c r="I157" s="14" t="s">
        <v>81</v>
      </c>
      <c r="N157" s="18"/>
      <c r="O157" s="7"/>
    </row>
    <row r="158">
      <c r="A158" s="9" t="s">
        <v>9</v>
      </c>
      <c r="B158" s="23">
        <v>45443.0</v>
      </c>
      <c r="C158" s="9" t="s">
        <v>176</v>
      </c>
      <c r="D158" s="9" t="s">
        <v>232</v>
      </c>
      <c r="E158" s="27">
        <v>146.32</v>
      </c>
      <c r="F158" s="18" t="s">
        <v>262</v>
      </c>
      <c r="G158" s="9" t="s">
        <v>232</v>
      </c>
      <c r="H158" s="14" t="s">
        <v>327</v>
      </c>
      <c r="I158" s="14" t="s">
        <v>308</v>
      </c>
      <c r="N158" s="18"/>
      <c r="O158" s="7"/>
    </row>
    <row r="159">
      <c r="A159" s="9" t="s">
        <v>9</v>
      </c>
      <c r="B159" s="23">
        <v>45443.0</v>
      </c>
      <c r="C159" s="9" t="s">
        <v>118</v>
      </c>
      <c r="D159" s="9" t="s">
        <v>232</v>
      </c>
      <c r="E159" s="27">
        <v>41.35</v>
      </c>
      <c r="F159" s="18" t="s">
        <v>262</v>
      </c>
      <c r="G159" s="9" t="s">
        <v>232</v>
      </c>
      <c r="H159" s="14" t="s">
        <v>329</v>
      </c>
      <c r="I159" s="14" t="s">
        <v>134</v>
      </c>
      <c r="N159" s="18"/>
      <c r="O159" s="7"/>
    </row>
    <row r="160">
      <c r="A160" s="9" t="s">
        <v>9</v>
      </c>
      <c r="B160" s="23">
        <v>45443.0</v>
      </c>
      <c r="C160" s="9" t="s">
        <v>92</v>
      </c>
      <c r="D160" s="9" t="s">
        <v>232</v>
      </c>
      <c r="E160" s="27">
        <v>195.44</v>
      </c>
      <c r="F160" s="18" t="s">
        <v>262</v>
      </c>
      <c r="G160" s="9" t="s">
        <v>232</v>
      </c>
      <c r="H160" s="14" t="s">
        <v>330</v>
      </c>
      <c r="I160" s="14" t="s">
        <v>315</v>
      </c>
      <c r="N160" s="18"/>
      <c r="O160" s="7"/>
    </row>
    <row r="161">
      <c r="A161" s="9" t="s">
        <v>9</v>
      </c>
      <c r="B161" s="23">
        <v>45446.0</v>
      </c>
      <c r="C161" s="9" t="s">
        <v>189</v>
      </c>
      <c r="D161" s="9" t="s">
        <v>11</v>
      </c>
      <c r="E161" s="27">
        <v>121.7</v>
      </c>
      <c r="F161" s="18" t="s">
        <v>331</v>
      </c>
      <c r="G161" s="9" t="s">
        <v>11</v>
      </c>
      <c r="H161" s="17" t="s">
        <v>332</v>
      </c>
      <c r="I161" s="14" t="s">
        <v>322</v>
      </c>
      <c r="N161" s="18"/>
      <c r="O161" s="7"/>
    </row>
    <row r="162">
      <c r="A162" s="9" t="s">
        <v>9</v>
      </c>
      <c r="B162" s="23">
        <v>45446.0</v>
      </c>
      <c r="C162" s="9" t="s">
        <v>176</v>
      </c>
      <c r="D162" s="9" t="s">
        <v>11</v>
      </c>
      <c r="E162" s="27">
        <v>246.45</v>
      </c>
      <c r="F162" s="18" t="s">
        <v>331</v>
      </c>
      <c r="G162" s="9" t="s">
        <v>11</v>
      </c>
      <c r="H162" s="17" t="s">
        <v>249</v>
      </c>
      <c r="I162" s="14" t="s">
        <v>308</v>
      </c>
      <c r="N162" s="7"/>
      <c r="O162" s="7"/>
    </row>
    <row r="163">
      <c r="A163" s="9" t="s">
        <v>9</v>
      </c>
      <c r="B163" s="23">
        <v>45446.0</v>
      </c>
      <c r="C163" s="9" t="s">
        <v>118</v>
      </c>
      <c r="D163" s="9" t="s">
        <v>11</v>
      </c>
      <c r="E163" s="27">
        <v>54.78</v>
      </c>
      <c r="F163" s="18" t="s">
        <v>331</v>
      </c>
      <c r="G163" s="9" t="s">
        <v>11</v>
      </c>
      <c r="H163" s="17" t="s">
        <v>334</v>
      </c>
      <c r="I163" s="14" t="s">
        <v>335</v>
      </c>
      <c r="N163" s="7"/>
      <c r="O163" s="7"/>
    </row>
    <row r="164">
      <c r="A164" s="9" t="s">
        <v>9</v>
      </c>
      <c r="B164" s="23">
        <v>45446.0</v>
      </c>
      <c r="C164" s="9" t="s">
        <v>92</v>
      </c>
      <c r="D164" s="9" t="s">
        <v>11</v>
      </c>
      <c r="E164" s="27">
        <v>220.78</v>
      </c>
      <c r="F164" s="18" t="s">
        <v>331</v>
      </c>
      <c r="G164" s="9" t="s">
        <v>11</v>
      </c>
      <c r="H164" s="17" t="s">
        <v>338</v>
      </c>
      <c r="I164" s="14" t="s">
        <v>81</v>
      </c>
      <c r="N164" s="7"/>
      <c r="O164" s="7"/>
    </row>
    <row r="165">
      <c r="A165" s="9" t="s">
        <v>9</v>
      </c>
      <c r="B165" s="23">
        <v>45448.0</v>
      </c>
      <c r="C165" s="9" t="s">
        <v>118</v>
      </c>
      <c r="D165" s="9" t="s">
        <v>15</v>
      </c>
      <c r="E165" s="27">
        <v>45.56</v>
      </c>
      <c r="F165" s="18" t="s">
        <v>331</v>
      </c>
      <c r="G165" s="9" t="s">
        <v>15</v>
      </c>
      <c r="H165" s="14" t="s">
        <v>220</v>
      </c>
      <c r="I165" s="14" t="s">
        <v>340</v>
      </c>
      <c r="N165" s="7"/>
      <c r="O165" s="7"/>
    </row>
    <row r="166">
      <c r="A166" s="9" t="s">
        <v>9</v>
      </c>
      <c r="B166" s="23">
        <v>45448.0</v>
      </c>
      <c r="C166" s="9" t="s">
        <v>92</v>
      </c>
      <c r="D166" s="9" t="s">
        <v>15</v>
      </c>
      <c r="E166" s="27">
        <v>199.49</v>
      </c>
      <c r="F166" s="18" t="s">
        <v>331</v>
      </c>
      <c r="G166" s="9" t="s">
        <v>15</v>
      </c>
      <c r="H166" s="14" t="s">
        <v>338</v>
      </c>
      <c r="I166" s="14" t="s">
        <v>341</v>
      </c>
      <c r="N166" s="7"/>
      <c r="O166" s="7"/>
    </row>
    <row r="167">
      <c r="A167" s="9" t="s">
        <v>9</v>
      </c>
      <c r="B167" s="23">
        <v>45388.0</v>
      </c>
      <c r="C167" s="9" t="s">
        <v>92</v>
      </c>
      <c r="D167" s="9" t="s">
        <v>227</v>
      </c>
      <c r="E167" s="27">
        <v>189.95</v>
      </c>
      <c r="F167" s="16" t="s">
        <v>269</v>
      </c>
      <c r="G167" s="9" t="s">
        <v>227</v>
      </c>
      <c r="H167" s="14" t="s">
        <v>342</v>
      </c>
      <c r="I167" s="14" t="s">
        <v>81</v>
      </c>
      <c r="N167" s="7"/>
      <c r="O167" s="7"/>
    </row>
    <row r="168">
      <c r="A168" s="9" t="s">
        <v>9</v>
      </c>
      <c r="B168" s="23">
        <v>45388.0</v>
      </c>
      <c r="C168" s="9" t="s">
        <v>118</v>
      </c>
      <c r="D168" s="9" t="s">
        <v>227</v>
      </c>
      <c r="E168" s="27">
        <v>41.23</v>
      </c>
      <c r="F168" s="16" t="s">
        <v>269</v>
      </c>
      <c r="G168" s="9" t="s">
        <v>227</v>
      </c>
      <c r="H168" s="14" t="s">
        <v>237</v>
      </c>
      <c r="I168" s="14" t="s">
        <v>354</v>
      </c>
      <c r="N168" s="7"/>
      <c r="O168" s="7"/>
    </row>
    <row r="169">
      <c r="A169" s="9" t="s">
        <v>9</v>
      </c>
      <c r="B169" s="23">
        <v>45388.0</v>
      </c>
      <c r="C169" s="9" t="s">
        <v>176</v>
      </c>
      <c r="D169" s="9" t="s">
        <v>227</v>
      </c>
      <c r="E169" s="27">
        <v>118.75</v>
      </c>
      <c r="F169" s="16" t="s">
        <v>269</v>
      </c>
      <c r="G169" s="9" t="s">
        <v>227</v>
      </c>
      <c r="H169" s="17" t="s">
        <v>223</v>
      </c>
      <c r="I169" s="14" t="s">
        <v>355</v>
      </c>
      <c r="N169" s="7"/>
      <c r="O169" s="7"/>
    </row>
    <row r="170">
      <c r="A170" s="9" t="s">
        <v>9</v>
      </c>
      <c r="B170" s="23">
        <v>45388.0</v>
      </c>
      <c r="C170" s="9" t="s">
        <v>189</v>
      </c>
      <c r="D170" s="9" t="s">
        <v>227</v>
      </c>
      <c r="E170" s="27">
        <v>36.5</v>
      </c>
      <c r="F170" s="16" t="s">
        <v>269</v>
      </c>
      <c r="G170" s="9" t="s">
        <v>227</v>
      </c>
      <c r="H170" s="17" t="s">
        <v>358</v>
      </c>
      <c r="I170" s="14" t="s">
        <v>322</v>
      </c>
      <c r="N170" s="7"/>
      <c r="O170" s="7"/>
    </row>
    <row r="171">
      <c r="A171" s="9" t="s">
        <v>9</v>
      </c>
      <c r="B171" s="23">
        <v>45450.0</v>
      </c>
      <c r="C171" s="9" t="s">
        <v>176</v>
      </c>
      <c r="D171" s="9" t="s">
        <v>232</v>
      </c>
      <c r="E171" s="27">
        <v>18.5</v>
      </c>
      <c r="F171" s="16" t="s">
        <v>269</v>
      </c>
      <c r="G171" s="9" t="s">
        <v>232</v>
      </c>
      <c r="H171" s="17" t="s">
        <v>359</v>
      </c>
      <c r="I171" s="14" t="s">
        <v>360</v>
      </c>
      <c r="N171" s="7"/>
      <c r="O171" s="7"/>
    </row>
    <row r="172">
      <c r="A172" s="9" t="s">
        <v>9</v>
      </c>
      <c r="B172" s="23">
        <v>45450.0</v>
      </c>
      <c r="C172" s="9" t="s">
        <v>189</v>
      </c>
      <c r="D172" s="9" t="s">
        <v>232</v>
      </c>
      <c r="E172" s="27">
        <v>9.55</v>
      </c>
      <c r="F172" s="16" t="s">
        <v>269</v>
      </c>
      <c r="G172" s="9" t="s">
        <v>232</v>
      </c>
      <c r="H172" s="17" t="s">
        <v>361</v>
      </c>
      <c r="I172" s="14" t="s">
        <v>362</v>
      </c>
      <c r="N172" s="7"/>
      <c r="O172" s="7"/>
    </row>
    <row r="173">
      <c r="A173" s="9" t="s">
        <v>9</v>
      </c>
      <c r="B173" s="23">
        <v>45450.0</v>
      </c>
      <c r="C173" s="9" t="s">
        <v>92</v>
      </c>
      <c r="D173" s="9" t="s">
        <v>232</v>
      </c>
      <c r="E173" s="27">
        <v>86.3</v>
      </c>
      <c r="F173" s="18" t="s">
        <v>269</v>
      </c>
      <c r="G173" s="9" t="s">
        <v>232</v>
      </c>
      <c r="H173" s="17" t="s">
        <v>363</v>
      </c>
      <c r="I173" s="14" t="s">
        <v>364</v>
      </c>
      <c r="N173" s="7"/>
      <c r="O173" s="7"/>
    </row>
    <row r="174">
      <c r="A174" s="9" t="s">
        <v>9</v>
      </c>
      <c r="B174" s="23">
        <v>45453.0</v>
      </c>
      <c r="C174" s="9" t="s">
        <v>92</v>
      </c>
      <c r="D174" s="9" t="s">
        <v>11</v>
      </c>
      <c r="E174" s="15">
        <v>190.13</v>
      </c>
      <c r="F174" s="18" t="s">
        <v>167</v>
      </c>
      <c r="G174" s="9" t="s">
        <v>11</v>
      </c>
      <c r="H174" s="14" t="s">
        <v>365</v>
      </c>
      <c r="I174" s="14" t="s">
        <v>366</v>
      </c>
      <c r="N174" s="7"/>
      <c r="O174" s="7"/>
    </row>
    <row r="175">
      <c r="A175" s="9" t="s">
        <v>9</v>
      </c>
      <c r="B175" s="23">
        <v>45453.0</v>
      </c>
      <c r="C175" s="9" t="s">
        <v>118</v>
      </c>
      <c r="D175" s="9" t="s">
        <v>11</v>
      </c>
      <c r="E175" s="15">
        <v>27.89</v>
      </c>
      <c r="F175" s="18" t="s">
        <v>167</v>
      </c>
      <c r="G175" s="9" t="s">
        <v>11</v>
      </c>
      <c r="H175" s="14" t="s">
        <v>237</v>
      </c>
      <c r="I175" s="14" t="s">
        <v>134</v>
      </c>
      <c r="N175" s="7"/>
      <c r="O175" s="7"/>
    </row>
    <row r="176">
      <c r="A176" s="9" t="s">
        <v>9</v>
      </c>
      <c r="B176" s="23">
        <v>45453.0</v>
      </c>
      <c r="C176" s="9" t="s">
        <v>176</v>
      </c>
      <c r="D176" s="9" t="s">
        <v>11</v>
      </c>
      <c r="E176" s="15">
        <v>115.0</v>
      </c>
      <c r="F176" s="18" t="s">
        <v>167</v>
      </c>
      <c r="G176" s="9" t="s">
        <v>11</v>
      </c>
      <c r="H176" s="14" t="s">
        <v>358</v>
      </c>
      <c r="I176" s="14" t="s">
        <v>367</v>
      </c>
      <c r="N176" s="7"/>
      <c r="O176" s="7"/>
    </row>
    <row r="177">
      <c r="A177" s="9" t="s">
        <v>9</v>
      </c>
      <c r="B177" s="23">
        <v>45453.0</v>
      </c>
      <c r="C177" s="9" t="s">
        <v>189</v>
      </c>
      <c r="D177" s="9" t="s">
        <v>11</v>
      </c>
      <c r="E177" s="15">
        <v>35.67</v>
      </c>
      <c r="F177" s="18" t="s">
        <v>167</v>
      </c>
      <c r="G177" s="9" t="s">
        <v>11</v>
      </c>
      <c r="H177" s="14" t="s">
        <v>225</v>
      </c>
      <c r="I177" s="14" t="s">
        <v>368</v>
      </c>
      <c r="N177" s="7"/>
      <c r="O177" s="7"/>
    </row>
    <row r="178">
      <c r="A178" s="9" t="s">
        <v>9</v>
      </c>
      <c r="B178" s="23">
        <v>45453.0</v>
      </c>
      <c r="C178" s="9" t="s">
        <v>10</v>
      </c>
      <c r="D178" s="9" t="s">
        <v>11</v>
      </c>
      <c r="E178" s="15">
        <v>48.09</v>
      </c>
      <c r="F178" s="18" t="s">
        <v>167</v>
      </c>
      <c r="G178" s="9" t="s">
        <v>11</v>
      </c>
      <c r="H178" s="14"/>
      <c r="N178" s="7"/>
      <c r="O178" s="7"/>
    </row>
    <row r="179">
      <c r="A179" s="9" t="s">
        <v>9</v>
      </c>
      <c r="B179" s="23">
        <v>45454.0</v>
      </c>
      <c r="C179" s="9" t="s">
        <v>92</v>
      </c>
      <c r="D179" s="9" t="s">
        <v>15</v>
      </c>
      <c r="E179" s="15">
        <v>158.69</v>
      </c>
      <c r="F179" s="18" t="s">
        <v>167</v>
      </c>
      <c r="G179" s="9" t="s">
        <v>15</v>
      </c>
      <c r="H179" s="14" t="s">
        <v>365</v>
      </c>
      <c r="I179" s="14" t="s">
        <v>369</v>
      </c>
      <c r="N179" s="7"/>
      <c r="O179" s="7"/>
    </row>
    <row r="180">
      <c r="A180" s="9" t="s">
        <v>9</v>
      </c>
      <c r="B180" s="23">
        <v>45454.0</v>
      </c>
      <c r="C180" s="9" t="s">
        <v>176</v>
      </c>
      <c r="D180" s="9" t="s">
        <v>15</v>
      </c>
      <c r="E180" s="15">
        <v>58.32</v>
      </c>
      <c r="F180" s="18" t="s">
        <v>167</v>
      </c>
      <c r="G180" s="9" t="s">
        <v>15</v>
      </c>
      <c r="H180" s="17" t="s">
        <v>370</v>
      </c>
      <c r="I180" s="14" t="s">
        <v>371</v>
      </c>
      <c r="N180" s="7"/>
      <c r="O180" s="7"/>
    </row>
    <row r="181">
      <c r="A181" s="9" t="s">
        <v>9</v>
      </c>
      <c r="B181" s="23">
        <v>45454.0</v>
      </c>
      <c r="C181" s="9" t="s">
        <v>189</v>
      </c>
      <c r="D181" s="9" t="s">
        <v>15</v>
      </c>
      <c r="E181" s="15">
        <v>47.8</v>
      </c>
      <c r="F181" s="18" t="s">
        <v>167</v>
      </c>
      <c r="G181" s="9" t="s">
        <v>15</v>
      </c>
      <c r="H181" s="17" t="s">
        <v>372</v>
      </c>
      <c r="I181" s="14" t="s">
        <v>367</v>
      </c>
      <c r="N181" s="7"/>
      <c r="O181" s="7"/>
    </row>
    <row r="182">
      <c r="A182" s="9" t="s">
        <v>9</v>
      </c>
      <c r="B182" s="23">
        <v>45454.0</v>
      </c>
      <c r="C182" s="9" t="s">
        <v>10</v>
      </c>
      <c r="D182" s="9" t="s">
        <v>15</v>
      </c>
      <c r="E182" s="15">
        <v>39.45</v>
      </c>
      <c r="F182" s="18" t="s">
        <v>167</v>
      </c>
      <c r="G182" s="9" t="s">
        <v>15</v>
      </c>
      <c r="H182" s="17" t="s">
        <v>225</v>
      </c>
      <c r="I182" s="14" t="s">
        <v>373</v>
      </c>
      <c r="N182" s="7"/>
      <c r="O182" s="7"/>
    </row>
    <row r="183">
      <c r="A183" s="9" t="s">
        <v>9</v>
      </c>
      <c r="B183" s="23">
        <v>45455.0</v>
      </c>
      <c r="C183" s="9" t="s">
        <v>189</v>
      </c>
      <c r="D183" s="9" t="s">
        <v>227</v>
      </c>
      <c r="E183" s="15">
        <v>37.71</v>
      </c>
      <c r="F183" s="18" t="s">
        <v>269</v>
      </c>
      <c r="G183" s="9" t="s">
        <v>227</v>
      </c>
      <c r="H183" s="17" t="s">
        <v>358</v>
      </c>
      <c r="I183" s="14" t="s">
        <v>122</v>
      </c>
      <c r="N183" s="7"/>
      <c r="O183" s="7"/>
    </row>
    <row r="184">
      <c r="A184" s="9" t="s">
        <v>9</v>
      </c>
      <c r="B184" s="23">
        <v>45455.0</v>
      </c>
      <c r="C184" s="9" t="s">
        <v>92</v>
      </c>
      <c r="D184" s="9" t="s">
        <v>227</v>
      </c>
      <c r="E184" s="15">
        <v>109.74</v>
      </c>
      <c r="F184" s="18" t="s">
        <v>269</v>
      </c>
      <c r="G184" s="9" t="s">
        <v>227</v>
      </c>
      <c r="H184" s="17" t="s">
        <v>233</v>
      </c>
      <c r="I184" s="14" t="s">
        <v>369</v>
      </c>
      <c r="N184" s="7"/>
      <c r="O184" s="7"/>
    </row>
    <row r="185">
      <c r="A185" s="9" t="s">
        <v>9</v>
      </c>
      <c r="B185" s="23">
        <v>45455.0</v>
      </c>
      <c r="C185" s="9" t="s">
        <v>118</v>
      </c>
      <c r="D185" s="9" t="s">
        <v>227</v>
      </c>
      <c r="E185" s="15">
        <v>15.67</v>
      </c>
      <c r="F185" s="18" t="s">
        <v>269</v>
      </c>
      <c r="G185" s="9" t="s">
        <v>227</v>
      </c>
      <c r="H185" s="17" t="s">
        <v>374</v>
      </c>
      <c r="I185" s="14" t="s">
        <v>375</v>
      </c>
      <c r="N185" s="7"/>
      <c r="O185" s="7"/>
    </row>
    <row r="186">
      <c r="A186" s="9" t="s">
        <v>9</v>
      </c>
      <c r="B186" s="23">
        <v>45455.0</v>
      </c>
      <c r="C186" s="9" t="s">
        <v>176</v>
      </c>
      <c r="D186" s="9" t="s">
        <v>227</v>
      </c>
      <c r="E186" s="15">
        <v>78.32</v>
      </c>
      <c r="F186" s="18" t="s">
        <v>269</v>
      </c>
      <c r="G186" s="9" t="s">
        <v>227</v>
      </c>
      <c r="H186" s="17" t="s">
        <v>376</v>
      </c>
      <c r="I186" s="14" t="s">
        <v>377</v>
      </c>
      <c r="N186" s="7"/>
      <c r="O186" s="7"/>
    </row>
    <row r="187">
      <c r="A187" s="9" t="s">
        <v>9</v>
      </c>
      <c r="B187" s="23">
        <v>45455.0</v>
      </c>
      <c r="C187" s="9" t="s">
        <v>10</v>
      </c>
      <c r="D187" s="9" t="s">
        <v>227</v>
      </c>
      <c r="E187" s="15">
        <v>50.56</v>
      </c>
      <c r="F187" s="18" t="s">
        <v>269</v>
      </c>
      <c r="G187" s="9" t="s">
        <v>227</v>
      </c>
      <c r="H187" s="17" t="s">
        <v>210</v>
      </c>
      <c r="I187" s="14" t="s">
        <v>134</v>
      </c>
      <c r="N187" s="7"/>
      <c r="O187" s="7"/>
    </row>
    <row r="188">
      <c r="A188" s="9" t="s">
        <v>9</v>
      </c>
      <c r="B188" s="23">
        <v>45456.0</v>
      </c>
      <c r="C188" s="9" t="s">
        <v>92</v>
      </c>
      <c r="D188" s="9" t="s">
        <v>232</v>
      </c>
      <c r="E188" s="15">
        <v>28.9</v>
      </c>
      <c r="F188" s="18" t="s">
        <v>269</v>
      </c>
      <c r="G188" s="9" t="s">
        <v>232</v>
      </c>
      <c r="H188" s="17" t="s">
        <v>378</v>
      </c>
      <c r="I188" s="14" t="s">
        <v>379</v>
      </c>
      <c r="N188" s="7"/>
      <c r="O188" s="7"/>
    </row>
    <row r="189">
      <c r="A189" s="9" t="s">
        <v>9</v>
      </c>
      <c r="B189" s="23">
        <v>45456.0</v>
      </c>
      <c r="C189" s="9" t="s">
        <v>176</v>
      </c>
      <c r="D189" s="9" t="s">
        <v>232</v>
      </c>
      <c r="E189" s="15">
        <v>37.6</v>
      </c>
      <c r="F189" s="18" t="s">
        <v>269</v>
      </c>
      <c r="G189" s="9" t="s">
        <v>232</v>
      </c>
      <c r="H189" s="17" t="s">
        <v>380</v>
      </c>
      <c r="I189" s="14" t="s">
        <v>381</v>
      </c>
      <c r="N189" s="7"/>
      <c r="O189" s="7"/>
    </row>
    <row r="190">
      <c r="A190" s="9" t="s">
        <v>9</v>
      </c>
      <c r="B190" s="23">
        <v>45456.0</v>
      </c>
      <c r="C190" s="9" t="s">
        <v>189</v>
      </c>
      <c r="D190" s="9" t="s">
        <v>232</v>
      </c>
      <c r="E190" s="15">
        <v>36.15</v>
      </c>
      <c r="F190" s="18" t="s">
        <v>269</v>
      </c>
      <c r="G190" s="9" t="s">
        <v>232</v>
      </c>
      <c r="H190" s="17" t="s">
        <v>358</v>
      </c>
      <c r="I190" s="14" t="s">
        <v>122</v>
      </c>
      <c r="N190" s="7"/>
      <c r="O190" s="7"/>
    </row>
    <row r="191">
      <c r="A191" s="9" t="s">
        <v>9</v>
      </c>
      <c r="B191" s="23">
        <v>45460.0</v>
      </c>
      <c r="C191" s="9" t="s">
        <v>189</v>
      </c>
      <c r="D191" s="9">
        <v>1.0</v>
      </c>
      <c r="E191" s="15">
        <v>98.26</v>
      </c>
      <c r="F191" s="18" t="s">
        <v>269</v>
      </c>
      <c r="G191" s="9">
        <v>1.0</v>
      </c>
      <c r="H191" s="17" t="s">
        <v>382</v>
      </c>
      <c r="I191" s="14" t="s">
        <v>122</v>
      </c>
      <c r="N191" s="7"/>
      <c r="O191" s="7"/>
    </row>
    <row r="192">
      <c r="A192" s="9" t="s">
        <v>9</v>
      </c>
      <c r="B192" s="23">
        <v>45460.0</v>
      </c>
      <c r="C192" s="9" t="s">
        <v>10</v>
      </c>
      <c r="D192" s="9">
        <v>1.0</v>
      </c>
      <c r="E192" s="15">
        <v>32.01</v>
      </c>
      <c r="F192" s="18" t="s">
        <v>269</v>
      </c>
      <c r="G192" s="9">
        <v>1.0</v>
      </c>
      <c r="H192" s="17" t="s">
        <v>225</v>
      </c>
      <c r="I192" s="14" t="s">
        <v>373</v>
      </c>
      <c r="N192" s="7"/>
      <c r="O192" s="7"/>
    </row>
    <row r="193">
      <c r="A193" s="9" t="s">
        <v>9</v>
      </c>
      <c r="B193" s="23">
        <v>45460.0</v>
      </c>
      <c r="C193" s="9" t="s">
        <v>92</v>
      </c>
      <c r="D193" s="9">
        <v>1.0</v>
      </c>
      <c r="E193" s="15">
        <v>378.88</v>
      </c>
      <c r="F193" s="18" t="s">
        <v>269</v>
      </c>
      <c r="G193" s="9">
        <v>1.0</v>
      </c>
      <c r="H193" s="17" t="s">
        <v>294</v>
      </c>
      <c r="I193" s="14" t="s">
        <v>383</v>
      </c>
      <c r="N193" s="7"/>
      <c r="O193" s="7"/>
    </row>
    <row r="194">
      <c r="A194" s="9" t="s">
        <v>9</v>
      </c>
      <c r="B194" s="23">
        <v>45460.0</v>
      </c>
      <c r="C194" s="9" t="s">
        <v>176</v>
      </c>
      <c r="D194" s="9">
        <v>1.0</v>
      </c>
      <c r="E194" s="15">
        <v>125.77</v>
      </c>
      <c r="F194" s="18" t="s">
        <v>269</v>
      </c>
      <c r="G194" s="9">
        <v>1.0</v>
      </c>
      <c r="H194" s="17" t="s">
        <v>298</v>
      </c>
      <c r="I194" s="14" t="s">
        <v>308</v>
      </c>
      <c r="N194" s="7"/>
      <c r="O194" s="7"/>
    </row>
    <row r="195">
      <c r="A195" s="9" t="s">
        <v>9</v>
      </c>
      <c r="B195" s="23">
        <v>45460.0</v>
      </c>
      <c r="C195" s="9" t="s">
        <v>118</v>
      </c>
      <c r="D195" s="9">
        <v>1.0</v>
      </c>
      <c r="E195" s="15">
        <v>49.08</v>
      </c>
      <c r="F195" s="18" t="s">
        <v>269</v>
      </c>
      <c r="G195" s="9">
        <v>1.0</v>
      </c>
      <c r="H195" s="17" t="s">
        <v>241</v>
      </c>
      <c r="I195" s="14" t="s">
        <v>384</v>
      </c>
      <c r="N195" s="7"/>
      <c r="O195" s="7"/>
    </row>
    <row r="196">
      <c r="A196" s="9" t="s">
        <v>9</v>
      </c>
      <c r="B196" s="23">
        <v>45461.0</v>
      </c>
      <c r="C196" s="9" t="s">
        <v>10</v>
      </c>
      <c r="D196" s="9" t="s">
        <v>227</v>
      </c>
      <c r="E196" s="15">
        <v>36.02</v>
      </c>
      <c r="F196" s="18" t="s">
        <v>262</v>
      </c>
      <c r="G196" s="9" t="s">
        <v>227</v>
      </c>
      <c r="H196" s="17" t="s">
        <v>225</v>
      </c>
      <c r="I196" s="14" t="s">
        <v>385</v>
      </c>
      <c r="N196" s="7"/>
      <c r="O196" s="7"/>
    </row>
    <row r="197">
      <c r="A197" s="9" t="s">
        <v>9</v>
      </c>
      <c r="B197" s="23">
        <v>45461.0</v>
      </c>
      <c r="C197" s="9" t="s">
        <v>92</v>
      </c>
      <c r="D197" s="9" t="s">
        <v>227</v>
      </c>
      <c r="E197" s="15">
        <v>175.74</v>
      </c>
      <c r="F197" s="18" t="s">
        <v>262</v>
      </c>
      <c r="G197" s="9" t="s">
        <v>227</v>
      </c>
      <c r="H197" s="17" t="s">
        <v>386</v>
      </c>
      <c r="I197" s="14" t="s">
        <v>387</v>
      </c>
      <c r="N197" s="7"/>
      <c r="O197" s="7"/>
    </row>
    <row r="198">
      <c r="A198" s="9" t="s">
        <v>9</v>
      </c>
      <c r="B198" s="23">
        <v>45461.0</v>
      </c>
      <c r="C198" s="9" t="s">
        <v>118</v>
      </c>
      <c r="D198" s="9" t="s">
        <v>227</v>
      </c>
      <c r="E198" s="15">
        <v>17.86</v>
      </c>
      <c r="F198" s="18" t="s">
        <v>262</v>
      </c>
      <c r="G198" s="9" t="s">
        <v>227</v>
      </c>
      <c r="H198" s="17" t="s">
        <v>374</v>
      </c>
      <c r="I198" s="14" t="s">
        <v>388</v>
      </c>
      <c r="N198" s="7"/>
      <c r="O198" s="7"/>
    </row>
    <row r="199">
      <c r="A199" s="9" t="s">
        <v>9</v>
      </c>
      <c r="B199" s="23">
        <v>45461.0</v>
      </c>
      <c r="C199" s="9" t="s">
        <v>176</v>
      </c>
      <c r="D199" s="9" t="s">
        <v>227</v>
      </c>
      <c r="E199" s="15">
        <v>56.78</v>
      </c>
      <c r="F199" s="18" t="s">
        <v>262</v>
      </c>
      <c r="G199" s="9" t="s">
        <v>227</v>
      </c>
      <c r="H199" s="17" t="s">
        <v>389</v>
      </c>
      <c r="I199" s="14" t="s">
        <v>385</v>
      </c>
      <c r="N199" s="7"/>
      <c r="O199" s="7"/>
    </row>
    <row r="200">
      <c r="A200" s="9" t="s">
        <v>9</v>
      </c>
      <c r="B200" s="23">
        <v>45463.0</v>
      </c>
      <c r="C200" s="9" t="s">
        <v>176</v>
      </c>
      <c r="D200" s="9" t="s">
        <v>232</v>
      </c>
      <c r="E200" s="15">
        <v>101.05</v>
      </c>
      <c r="F200" s="18" t="s">
        <v>291</v>
      </c>
      <c r="G200" s="9" t="s">
        <v>232</v>
      </c>
      <c r="H200" s="17" t="s">
        <v>301</v>
      </c>
      <c r="I200" s="14" t="s">
        <v>385</v>
      </c>
      <c r="N200" s="7"/>
      <c r="O200" s="7"/>
    </row>
    <row r="201">
      <c r="A201" s="9" t="s">
        <v>9</v>
      </c>
      <c r="B201" s="23">
        <v>45463.0</v>
      </c>
      <c r="C201" s="9" t="s">
        <v>92</v>
      </c>
      <c r="D201" s="9" t="s">
        <v>232</v>
      </c>
      <c r="E201" s="15">
        <v>121.75</v>
      </c>
      <c r="F201" s="18" t="s">
        <v>291</v>
      </c>
      <c r="G201" s="9" t="s">
        <v>232</v>
      </c>
      <c r="H201" s="17" t="s">
        <v>248</v>
      </c>
      <c r="I201" s="14" t="s">
        <v>390</v>
      </c>
      <c r="N201" s="7"/>
      <c r="O201" s="7"/>
    </row>
    <row r="202">
      <c r="A202" s="9" t="s">
        <v>9</v>
      </c>
      <c r="B202" s="23">
        <v>45463.0</v>
      </c>
      <c r="C202" s="9" t="s">
        <v>189</v>
      </c>
      <c r="D202" s="9" t="s">
        <v>232</v>
      </c>
      <c r="E202" s="15">
        <v>23.5</v>
      </c>
      <c r="F202" s="18" t="s">
        <v>291</v>
      </c>
      <c r="G202" s="9" t="s">
        <v>232</v>
      </c>
      <c r="H202" s="17" t="s">
        <v>361</v>
      </c>
      <c r="I202" s="14" t="s">
        <v>122</v>
      </c>
      <c r="N202" s="7"/>
      <c r="O202" s="7"/>
    </row>
    <row r="203">
      <c r="A203" s="9" t="s">
        <v>9</v>
      </c>
      <c r="B203" s="23">
        <v>45463.0</v>
      </c>
      <c r="C203" s="9" t="s">
        <v>10</v>
      </c>
      <c r="D203" s="9" t="s">
        <v>232</v>
      </c>
      <c r="E203" s="15">
        <v>35.2</v>
      </c>
      <c r="F203" s="18" t="s">
        <v>291</v>
      </c>
      <c r="G203" s="9" t="s">
        <v>232</v>
      </c>
      <c r="H203" s="17" t="s">
        <v>225</v>
      </c>
      <c r="I203" s="14" t="s">
        <v>385</v>
      </c>
      <c r="N203" s="7"/>
      <c r="O203" s="7"/>
    </row>
    <row r="204">
      <c r="A204" s="9" t="s">
        <v>9</v>
      </c>
      <c r="B204" s="23">
        <v>45464.0</v>
      </c>
      <c r="C204" s="9" t="s">
        <v>92</v>
      </c>
      <c r="D204" s="9" t="s">
        <v>391</v>
      </c>
      <c r="E204" s="15">
        <v>106.55</v>
      </c>
      <c r="F204" s="18" t="s">
        <v>291</v>
      </c>
      <c r="G204" s="9" t="s">
        <v>391</v>
      </c>
      <c r="H204" s="17" t="s">
        <v>392</v>
      </c>
      <c r="I204" s="14" t="s">
        <v>393</v>
      </c>
      <c r="N204" s="7"/>
      <c r="O204" s="7"/>
    </row>
    <row r="205">
      <c r="A205" s="9" t="s">
        <v>9</v>
      </c>
      <c r="B205" s="23">
        <v>45464.0</v>
      </c>
      <c r="C205" s="9" t="s">
        <v>189</v>
      </c>
      <c r="D205" s="9" t="s">
        <v>391</v>
      </c>
      <c r="E205" s="15">
        <v>22.2</v>
      </c>
      <c r="F205" s="18" t="s">
        <v>291</v>
      </c>
      <c r="G205" s="9" t="s">
        <v>391</v>
      </c>
      <c r="H205" s="17" t="s">
        <v>361</v>
      </c>
      <c r="I205" s="14" t="s">
        <v>122</v>
      </c>
      <c r="N205" s="7"/>
      <c r="O205" s="7"/>
    </row>
    <row r="206">
      <c r="A206" s="9" t="s">
        <v>50</v>
      </c>
      <c r="B206" s="23">
        <v>45468.0</v>
      </c>
      <c r="C206" s="9" t="s">
        <v>176</v>
      </c>
      <c r="D206" s="9" t="s">
        <v>11</v>
      </c>
      <c r="E206" s="15">
        <v>64.19</v>
      </c>
      <c r="F206" s="18" t="s">
        <v>291</v>
      </c>
      <c r="G206" s="9" t="s">
        <v>11</v>
      </c>
      <c r="H206" s="17" t="s">
        <v>389</v>
      </c>
      <c r="I206" s="14" t="s">
        <v>385</v>
      </c>
      <c r="N206" s="7"/>
      <c r="O206" s="7"/>
    </row>
    <row r="207">
      <c r="A207" s="9" t="s">
        <v>50</v>
      </c>
      <c r="B207" s="23">
        <v>45468.0</v>
      </c>
      <c r="C207" s="9" t="s">
        <v>92</v>
      </c>
      <c r="D207" s="9" t="s">
        <v>11</v>
      </c>
      <c r="E207" s="15">
        <v>350.05</v>
      </c>
      <c r="F207" s="18" t="s">
        <v>291</v>
      </c>
      <c r="G207" s="9" t="s">
        <v>11</v>
      </c>
      <c r="H207" s="17" t="s">
        <v>394</v>
      </c>
      <c r="I207" s="14" t="s">
        <v>364</v>
      </c>
      <c r="N207" s="7"/>
      <c r="O207" s="7"/>
    </row>
    <row r="208">
      <c r="A208" s="9" t="s">
        <v>50</v>
      </c>
      <c r="B208" s="23">
        <v>45468.0</v>
      </c>
      <c r="C208" s="9" t="s">
        <v>189</v>
      </c>
      <c r="D208" s="9" t="s">
        <v>11</v>
      </c>
      <c r="E208" s="15">
        <v>47.79</v>
      </c>
      <c r="F208" s="18" t="s">
        <v>291</v>
      </c>
      <c r="G208" s="9" t="s">
        <v>11</v>
      </c>
      <c r="H208" s="17" t="s">
        <v>358</v>
      </c>
      <c r="I208" s="14" t="s">
        <v>395</v>
      </c>
      <c r="N208" s="7"/>
      <c r="O208" s="7"/>
    </row>
    <row r="209">
      <c r="A209" s="9" t="s">
        <v>47</v>
      </c>
      <c r="B209" s="23">
        <v>45469.0</v>
      </c>
      <c r="C209" s="9" t="s">
        <v>92</v>
      </c>
      <c r="D209" s="9" t="s">
        <v>15</v>
      </c>
      <c r="E209" s="15">
        <v>265.5</v>
      </c>
      <c r="F209" s="18" t="s">
        <v>291</v>
      </c>
      <c r="G209" s="9" t="s">
        <v>15</v>
      </c>
      <c r="H209" s="17" t="s">
        <v>359</v>
      </c>
      <c r="I209" s="14" t="s">
        <v>396</v>
      </c>
      <c r="N209" s="7"/>
      <c r="O209" s="7"/>
    </row>
    <row r="210">
      <c r="A210" s="9" t="s">
        <v>47</v>
      </c>
      <c r="B210" s="23">
        <v>45469.0</v>
      </c>
      <c r="C210" s="9" t="s">
        <v>176</v>
      </c>
      <c r="D210" s="9" t="s">
        <v>15</v>
      </c>
      <c r="E210" s="15">
        <v>14.08</v>
      </c>
      <c r="F210" s="18" t="s">
        <v>291</v>
      </c>
      <c r="G210" s="9" t="s">
        <v>15</v>
      </c>
      <c r="H210" s="17" t="s">
        <v>397</v>
      </c>
      <c r="I210" s="14" t="s">
        <v>398</v>
      </c>
      <c r="N210" s="7"/>
      <c r="O210" s="7"/>
    </row>
    <row r="211">
      <c r="A211" s="9" t="s">
        <v>50</v>
      </c>
      <c r="B211" s="23">
        <v>45471.0</v>
      </c>
      <c r="C211" s="9" t="s">
        <v>176</v>
      </c>
      <c r="D211" s="9" t="s">
        <v>227</v>
      </c>
      <c r="E211" s="15">
        <v>31.5</v>
      </c>
      <c r="F211" s="18" t="s">
        <v>291</v>
      </c>
      <c r="G211" s="9" t="s">
        <v>227</v>
      </c>
      <c r="H211" s="17" t="s">
        <v>359</v>
      </c>
      <c r="I211" s="14" t="s">
        <v>396</v>
      </c>
      <c r="N211" s="7"/>
      <c r="O211" s="7"/>
    </row>
    <row r="212">
      <c r="A212" s="9" t="s">
        <v>50</v>
      </c>
      <c r="B212" s="23">
        <v>45471.0</v>
      </c>
      <c r="C212" s="9" t="s">
        <v>92</v>
      </c>
      <c r="D212" s="9" t="s">
        <v>227</v>
      </c>
      <c r="E212" s="15">
        <v>196.3</v>
      </c>
      <c r="F212" s="18" t="s">
        <v>291</v>
      </c>
      <c r="G212" s="9" t="s">
        <v>227</v>
      </c>
      <c r="H212" s="17" t="s">
        <v>365</v>
      </c>
      <c r="I212" s="14" t="s">
        <v>364</v>
      </c>
      <c r="N212" s="7"/>
      <c r="O212" s="7"/>
    </row>
    <row r="213">
      <c r="A213" s="9" t="s">
        <v>50</v>
      </c>
      <c r="B213" s="23">
        <v>45471.0</v>
      </c>
      <c r="C213" s="9" t="s">
        <v>189</v>
      </c>
      <c r="D213" s="9" t="s">
        <v>227</v>
      </c>
      <c r="E213" s="15">
        <v>22.1</v>
      </c>
      <c r="F213" s="18" t="s">
        <v>291</v>
      </c>
      <c r="G213" s="9" t="s">
        <v>227</v>
      </c>
      <c r="H213" s="17" t="s">
        <v>361</v>
      </c>
      <c r="I213" s="14" t="s">
        <v>122</v>
      </c>
      <c r="N213" s="7"/>
      <c r="O213" s="7"/>
    </row>
    <row r="214">
      <c r="A214" s="9" t="s">
        <v>47</v>
      </c>
      <c r="B214" s="23">
        <v>45474.0</v>
      </c>
      <c r="C214" s="9" t="s">
        <v>189</v>
      </c>
      <c r="D214" s="9" t="s">
        <v>232</v>
      </c>
      <c r="E214" s="27">
        <v>29.5</v>
      </c>
      <c r="F214" s="18" t="s">
        <v>291</v>
      </c>
      <c r="G214" s="9" t="s">
        <v>232</v>
      </c>
      <c r="H214" s="44" t="s">
        <v>399</v>
      </c>
      <c r="I214" s="14" t="s">
        <v>122</v>
      </c>
      <c r="N214" s="7"/>
      <c r="O214" s="7"/>
    </row>
    <row r="215">
      <c r="A215" s="9" t="s">
        <v>47</v>
      </c>
      <c r="B215" s="23">
        <v>45474.0</v>
      </c>
      <c r="C215" s="9" t="s">
        <v>92</v>
      </c>
      <c r="D215" s="9" t="s">
        <v>232</v>
      </c>
      <c r="E215" s="27">
        <v>300.8</v>
      </c>
      <c r="F215" s="18" t="s">
        <v>291</v>
      </c>
      <c r="G215" s="9" t="s">
        <v>232</v>
      </c>
      <c r="H215" s="44" t="s">
        <v>400</v>
      </c>
      <c r="I215" s="14" t="s">
        <v>364</v>
      </c>
      <c r="N215" s="7"/>
      <c r="O215" s="7"/>
    </row>
    <row r="216">
      <c r="A216" s="9" t="s">
        <v>47</v>
      </c>
      <c r="B216" s="23">
        <v>45474.0</v>
      </c>
      <c r="C216" s="9" t="s">
        <v>176</v>
      </c>
      <c r="D216" s="9" t="s">
        <v>232</v>
      </c>
      <c r="E216" s="27">
        <v>26.75</v>
      </c>
      <c r="F216" s="18" t="s">
        <v>291</v>
      </c>
      <c r="G216" s="9" t="s">
        <v>232</v>
      </c>
      <c r="H216" s="44" t="s">
        <v>401</v>
      </c>
      <c r="I216" s="14" t="s">
        <v>134</v>
      </c>
      <c r="N216" s="7"/>
      <c r="O216" s="7"/>
    </row>
    <row r="217">
      <c r="A217" s="9" t="s">
        <v>9</v>
      </c>
      <c r="B217" s="23">
        <v>45478.0</v>
      </c>
      <c r="C217" s="9" t="s">
        <v>189</v>
      </c>
      <c r="D217" s="9" t="s">
        <v>11</v>
      </c>
      <c r="E217" s="15">
        <v>91.22</v>
      </c>
      <c r="F217" s="18" t="s">
        <v>262</v>
      </c>
      <c r="G217" s="9" t="s">
        <v>11</v>
      </c>
      <c r="H217" s="68" t="s">
        <v>402</v>
      </c>
      <c r="I217" s="14" t="s">
        <v>122</v>
      </c>
      <c r="N217" s="7"/>
      <c r="O217" s="7"/>
    </row>
    <row r="218">
      <c r="A218" s="9" t="s">
        <v>9</v>
      </c>
      <c r="B218" s="23">
        <v>45478.0</v>
      </c>
      <c r="C218" s="9" t="s">
        <v>10</v>
      </c>
      <c r="D218" s="9" t="s">
        <v>11</v>
      </c>
      <c r="E218" s="15">
        <v>57.2</v>
      </c>
      <c r="F218" s="18" t="s">
        <v>262</v>
      </c>
      <c r="G218" s="9" t="s">
        <v>11</v>
      </c>
      <c r="H218" s="68" t="s">
        <v>403</v>
      </c>
      <c r="I218" s="14" t="s">
        <v>134</v>
      </c>
      <c r="N218" s="7"/>
      <c r="O218" s="7"/>
    </row>
    <row r="219">
      <c r="A219" s="9" t="s">
        <v>9</v>
      </c>
      <c r="B219" s="23">
        <v>45478.0</v>
      </c>
      <c r="C219" s="9" t="s">
        <v>176</v>
      </c>
      <c r="D219" s="9" t="s">
        <v>11</v>
      </c>
      <c r="E219" s="15">
        <v>113.97</v>
      </c>
      <c r="F219" s="18" t="s">
        <v>262</v>
      </c>
      <c r="G219" s="9" t="s">
        <v>11</v>
      </c>
      <c r="H219" s="68" t="s">
        <v>298</v>
      </c>
      <c r="I219" s="14" t="s">
        <v>134</v>
      </c>
      <c r="N219" s="7"/>
      <c r="O219" s="7"/>
    </row>
    <row r="220">
      <c r="A220" s="9" t="s">
        <v>9</v>
      </c>
      <c r="B220" s="23">
        <v>45478.0</v>
      </c>
      <c r="C220" s="9" t="s">
        <v>118</v>
      </c>
      <c r="D220" s="9" t="s">
        <v>11</v>
      </c>
      <c r="E220" s="15">
        <v>48.9</v>
      </c>
      <c r="F220" s="18" t="s">
        <v>262</v>
      </c>
      <c r="G220" s="9" t="s">
        <v>11</v>
      </c>
      <c r="H220" s="68" t="s">
        <v>237</v>
      </c>
      <c r="I220" s="14" t="s">
        <v>404</v>
      </c>
      <c r="N220" s="7"/>
      <c r="O220" s="7"/>
    </row>
    <row r="221">
      <c r="A221" s="9" t="s">
        <v>9</v>
      </c>
      <c r="B221" s="23">
        <v>45478.0</v>
      </c>
      <c r="C221" s="9" t="s">
        <v>92</v>
      </c>
      <c r="D221" s="9" t="s">
        <v>11</v>
      </c>
      <c r="E221" s="15">
        <v>199.6</v>
      </c>
      <c r="F221" s="18" t="s">
        <v>262</v>
      </c>
      <c r="G221" s="9" t="s">
        <v>11</v>
      </c>
      <c r="H221" s="68" t="s">
        <v>230</v>
      </c>
      <c r="I221" s="14" t="s">
        <v>398</v>
      </c>
      <c r="N221" s="7"/>
      <c r="O221" s="7"/>
    </row>
    <row r="222">
      <c r="A222" s="9" t="s">
        <v>9</v>
      </c>
      <c r="B222" s="23">
        <v>45481.0</v>
      </c>
      <c r="C222" s="9" t="s">
        <v>10</v>
      </c>
      <c r="D222" s="9" t="s">
        <v>15</v>
      </c>
      <c r="E222" s="15">
        <v>38.76</v>
      </c>
      <c r="F222" s="18" t="s">
        <v>262</v>
      </c>
      <c r="G222" s="9" t="s">
        <v>15</v>
      </c>
      <c r="H222" s="68" t="s">
        <v>210</v>
      </c>
      <c r="I222" s="14" t="s">
        <v>134</v>
      </c>
      <c r="N222" s="7"/>
      <c r="O222" s="7"/>
    </row>
    <row r="223">
      <c r="A223" s="9" t="s">
        <v>9</v>
      </c>
      <c r="B223" s="23">
        <v>45481.0</v>
      </c>
      <c r="C223" s="9" t="s">
        <v>189</v>
      </c>
      <c r="D223" s="9" t="s">
        <v>15</v>
      </c>
      <c r="E223" s="15">
        <v>60.45</v>
      </c>
      <c r="F223" s="18" t="s">
        <v>262</v>
      </c>
      <c r="G223" s="9" t="s">
        <v>15</v>
      </c>
      <c r="H223" s="68" t="s">
        <v>405</v>
      </c>
      <c r="I223" s="14" t="s">
        <v>406</v>
      </c>
      <c r="N223" s="7"/>
      <c r="O223" s="7"/>
    </row>
    <row r="224">
      <c r="A224" s="9" t="s">
        <v>9</v>
      </c>
      <c r="B224" s="23">
        <v>45481.0</v>
      </c>
      <c r="C224" s="9" t="s">
        <v>92</v>
      </c>
      <c r="D224" s="9" t="s">
        <v>15</v>
      </c>
      <c r="E224" s="15">
        <v>228.84</v>
      </c>
      <c r="F224" s="18" t="s">
        <v>262</v>
      </c>
      <c r="G224" s="9" t="s">
        <v>15</v>
      </c>
      <c r="H224" s="68" t="s">
        <v>407</v>
      </c>
      <c r="I224" s="14" t="s">
        <v>398</v>
      </c>
      <c r="N224" s="7"/>
      <c r="O224" s="7"/>
    </row>
    <row r="225">
      <c r="A225" s="9" t="s">
        <v>9</v>
      </c>
      <c r="B225" s="23">
        <v>45481.0</v>
      </c>
      <c r="C225" s="9" t="s">
        <v>176</v>
      </c>
      <c r="D225" s="9" t="s">
        <v>15</v>
      </c>
      <c r="E225" s="15">
        <v>61.87</v>
      </c>
      <c r="F225" s="18" t="s">
        <v>262</v>
      </c>
      <c r="G225" s="9" t="s">
        <v>15</v>
      </c>
      <c r="H225" s="68" t="s">
        <v>376</v>
      </c>
      <c r="I225" s="14" t="s">
        <v>134</v>
      </c>
      <c r="N225" s="7"/>
      <c r="O225" s="7"/>
    </row>
    <row r="226">
      <c r="A226" s="9" t="s">
        <v>9</v>
      </c>
      <c r="B226" s="23">
        <v>45483.0</v>
      </c>
      <c r="C226" s="9" t="s">
        <v>189</v>
      </c>
      <c r="D226" s="9" t="s">
        <v>227</v>
      </c>
      <c r="E226" s="15">
        <v>36.2</v>
      </c>
      <c r="F226" s="18" t="s">
        <v>262</v>
      </c>
      <c r="G226" s="9" t="s">
        <v>227</v>
      </c>
      <c r="H226" s="68" t="s">
        <v>358</v>
      </c>
      <c r="I226" s="14" t="s">
        <v>406</v>
      </c>
      <c r="N226" s="7"/>
      <c r="O226" s="7"/>
    </row>
    <row r="227">
      <c r="A227" s="9" t="s">
        <v>9</v>
      </c>
      <c r="B227" s="23">
        <v>45483.0</v>
      </c>
      <c r="C227" s="9" t="s">
        <v>10</v>
      </c>
      <c r="D227" s="9" t="s">
        <v>227</v>
      </c>
      <c r="E227" s="15">
        <v>13.45</v>
      </c>
      <c r="F227" s="18" t="s">
        <v>262</v>
      </c>
      <c r="G227" s="9" t="s">
        <v>227</v>
      </c>
      <c r="H227" s="68" t="s">
        <v>408</v>
      </c>
      <c r="I227" s="14" t="s">
        <v>134</v>
      </c>
      <c r="N227" s="7"/>
      <c r="O227" s="7"/>
    </row>
    <row r="228">
      <c r="A228" s="9" t="s">
        <v>9</v>
      </c>
      <c r="B228" s="23">
        <v>45483.0</v>
      </c>
      <c r="C228" s="9" t="s">
        <v>118</v>
      </c>
      <c r="D228" s="9" t="s">
        <v>227</v>
      </c>
      <c r="E228" s="15">
        <v>22.01</v>
      </c>
      <c r="F228" s="18" t="s">
        <v>262</v>
      </c>
      <c r="G228" s="9" t="s">
        <v>227</v>
      </c>
      <c r="H228" s="44" t="s">
        <v>237</v>
      </c>
      <c r="I228" s="14" t="s">
        <v>134</v>
      </c>
      <c r="N228" s="7"/>
      <c r="O228" s="7"/>
    </row>
    <row r="229">
      <c r="A229" s="9" t="s">
        <v>9</v>
      </c>
      <c r="B229" s="23">
        <v>45483.0</v>
      </c>
      <c r="C229" s="9" t="s">
        <v>92</v>
      </c>
      <c r="D229" s="9" t="s">
        <v>227</v>
      </c>
      <c r="E229" s="15">
        <v>190.39</v>
      </c>
      <c r="F229" s="18" t="s">
        <v>262</v>
      </c>
      <c r="G229" s="9" t="s">
        <v>227</v>
      </c>
      <c r="H229" s="17" t="s">
        <v>409</v>
      </c>
      <c r="I229" s="14" t="s">
        <v>158</v>
      </c>
      <c r="N229" s="7"/>
      <c r="O229" s="7"/>
    </row>
    <row r="230">
      <c r="A230" s="9" t="s">
        <v>9</v>
      </c>
      <c r="B230" s="23">
        <v>45485.0</v>
      </c>
      <c r="C230" s="9" t="s">
        <v>189</v>
      </c>
      <c r="D230" s="9" t="s">
        <v>232</v>
      </c>
      <c r="E230" s="15">
        <v>58.2</v>
      </c>
      <c r="F230" s="18" t="s">
        <v>262</v>
      </c>
      <c r="G230" s="9" t="s">
        <v>232</v>
      </c>
      <c r="H230" s="17" t="s">
        <v>410</v>
      </c>
      <c r="I230" s="14" t="s">
        <v>406</v>
      </c>
      <c r="N230" s="7"/>
      <c r="O230" s="7"/>
    </row>
    <row r="231">
      <c r="A231" s="9" t="s">
        <v>9</v>
      </c>
      <c r="B231" s="23">
        <v>45485.0</v>
      </c>
      <c r="C231" s="9" t="s">
        <v>10</v>
      </c>
      <c r="D231" s="9" t="s">
        <v>232</v>
      </c>
      <c r="E231" s="15">
        <v>40.09</v>
      </c>
      <c r="F231" s="18" t="s">
        <v>262</v>
      </c>
      <c r="G231" s="9" t="s">
        <v>232</v>
      </c>
      <c r="H231" s="17" t="s">
        <v>225</v>
      </c>
      <c r="I231" s="14" t="s">
        <v>134</v>
      </c>
      <c r="N231" s="7"/>
      <c r="O231" s="7"/>
    </row>
    <row r="232">
      <c r="A232" s="9" t="s">
        <v>9</v>
      </c>
      <c r="B232" s="23">
        <v>45485.0</v>
      </c>
      <c r="C232" s="9" t="s">
        <v>176</v>
      </c>
      <c r="D232" s="9" t="s">
        <v>232</v>
      </c>
      <c r="E232" s="15">
        <v>28.9</v>
      </c>
      <c r="F232" s="18" t="s">
        <v>262</v>
      </c>
      <c r="G232" s="9" t="s">
        <v>232</v>
      </c>
      <c r="H232" s="17" t="s">
        <v>359</v>
      </c>
      <c r="I232" s="14" t="s">
        <v>134</v>
      </c>
      <c r="N232" s="7"/>
      <c r="O232" s="7"/>
    </row>
    <row r="233">
      <c r="A233" s="9" t="s">
        <v>9</v>
      </c>
      <c r="B233" s="23">
        <v>45485.0</v>
      </c>
      <c r="C233" s="9" t="s">
        <v>92</v>
      </c>
      <c r="D233" s="9" t="s">
        <v>232</v>
      </c>
      <c r="E233" s="15">
        <v>144.56</v>
      </c>
      <c r="F233" s="18" t="s">
        <v>262</v>
      </c>
      <c r="G233" s="9" t="s">
        <v>232</v>
      </c>
      <c r="H233" s="17" t="s">
        <v>230</v>
      </c>
      <c r="I233" s="14" t="s">
        <v>398</v>
      </c>
      <c r="N233" s="7"/>
      <c r="O233" s="7"/>
    </row>
    <row r="234">
      <c r="A234" s="9" t="s">
        <v>9</v>
      </c>
      <c r="B234" s="23">
        <v>45488.0</v>
      </c>
      <c r="C234" s="9" t="s">
        <v>189</v>
      </c>
      <c r="D234" s="9" t="s">
        <v>11</v>
      </c>
      <c r="E234" s="15">
        <v>95.06</v>
      </c>
      <c r="F234" s="18" t="s">
        <v>167</v>
      </c>
      <c r="G234" s="9" t="s">
        <v>11</v>
      </c>
      <c r="H234" s="17" t="s">
        <v>321</v>
      </c>
      <c r="I234" s="14" t="s">
        <v>406</v>
      </c>
      <c r="N234" s="7"/>
      <c r="O234" s="7"/>
    </row>
    <row r="235">
      <c r="A235" s="9" t="s">
        <v>9</v>
      </c>
      <c r="B235" s="23">
        <v>45488.0</v>
      </c>
      <c r="C235" s="9" t="s">
        <v>176</v>
      </c>
      <c r="D235" s="9" t="s">
        <v>11</v>
      </c>
      <c r="E235" s="15">
        <v>38.09</v>
      </c>
      <c r="F235" s="18" t="s">
        <v>167</v>
      </c>
      <c r="G235" s="9" t="s">
        <v>11</v>
      </c>
      <c r="H235" s="17" t="s">
        <v>301</v>
      </c>
      <c r="I235" s="14" t="s">
        <v>134</v>
      </c>
      <c r="N235" s="7"/>
      <c r="O235" s="7"/>
    </row>
    <row r="236">
      <c r="A236" s="9" t="s">
        <v>9</v>
      </c>
      <c r="B236" s="23">
        <v>45488.0</v>
      </c>
      <c r="C236" s="9" t="s">
        <v>118</v>
      </c>
      <c r="D236" s="9" t="s">
        <v>11</v>
      </c>
      <c r="E236" s="15">
        <v>45.79</v>
      </c>
      <c r="F236" s="18" t="s">
        <v>167</v>
      </c>
      <c r="G236" s="9" t="s">
        <v>11</v>
      </c>
      <c r="H236" s="17" t="s">
        <v>237</v>
      </c>
      <c r="I236" s="14" t="s">
        <v>134</v>
      </c>
      <c r="N236" s="7"/>
      <c r="O236" s="7"/>
    </row>
    <row r="237">
      <c r="A237" s="9" t="s">
        <v>9</v>
      </c>
      <c r="B237" s="23">
        <v>45488.0</v>
      </c>
      <c r="C237" s="9" t="s">
        <v>10</v>
      </c>
      <c r="D237" s="9" t="s">
        <v>11</v>
      </c>
      <c r="E237" s="15">
        <v>41.35</v>
      </c>
      <c r="F237" s="18" t="s">
        <v>167</v>
      </c>
      <c r="G237" s="9" t="s">
        <v>11</v>
      </c>
      <c r="H237" s="17" t="s">
        <v>210</v>
      </c>
      <c r="I237" s="14" t="s">
        <v>134</v>
      </c>
      <c r="N237" s="7"/>
      <c r="O237" s="7"/>
    </row>
    <row r="238">
      <c r="A238" s="9" t="s">
        <v>9</v>
      </c>
      <c r="B238" s="23">
        <v>45488.0</v>
      </c>
      <c r="C238" s="9" t="s">
        <v>92</v>
      </c>
      <c r="D238" s="9" t="s">
        <v>11</v>
      </c>
      <c r="E238" s="15">
        <v>132.27</v>
      </c>
      <c r="F238" s="18" t="s">
        <v>167</v>
      </c>
      <c r="G238" s="9" t="s">
        <v>11</v>
      </c>
      <c r="H238" s="17" t="s">
        <v>338</v>
      </c>
      <c r="I238" s="14" t="s">
        <v>398</v>
      </c>
      <c r="N238" s="7"/>
      <c r="O238" s="7"/>
    </row>
    <row r="239">
      <c r="A239" s="9" t="s">
        <v>9</v>
      </c>
      <c r="B239" s="23">
        <v>45492.0</v>
      </c>
      <c r="C239" s="9" t="s">
        <v>189</v>
      </c>
      <c r="D239" s="9" t="s">
        <v>15</v>
      </c>
      <c r="E239" s="15">
        <v>60.53</v>
      </c>
      <c r="F239" s="18" t="s">
        <v>167</v>
      </c>
      <c r="G239" s="9" t="s">
        <v>15</v>
      </c>
      <c r="H239" s="17" t="s">
        <v>405</v>
      </c>
      <c r="I239" s="14" t="s">
        <v>406</v>
      </c>
      <c r="N239" s="7"/>
      <c r="O239" s="7"/>
    </row>
    <row r="240">
      <c r="A240" s="9" t="s">
        <v>9</v>
      </c>
      <c r="B240" s="23">
        <v>45492.0</v>
      </c>
      <c r="C240" s="9" t="s">
        <v>92</v>
      </c>
      <c r="D240" s="9" t="s">
        <v>15</v>
      </c>
      <c r="E240" s="15">
        <v>232.23</v>
      </c>
      <c r="F240" s="18" t="s">
        <v>167</v>
      </c>
      <c r="G240" s="9" t="s">
        <v>15</v>
      </c>
      <c r="H240" s="17" t="s">
        <v>409</v>
      </c>
      <c r="I240" s="14" t="s">
        <v>398</v>
      </c>
      <c r="N240" s="7"/>
      <c r="O240" s="7"/>
    </row>
    <row r="241">
      <c r="A241" s="9" t="s">
        <v>9</v>
      </c>
      <c r="B241" s="23">
        <v>45492.0</v>
      </c>
      <c r="C241" s="9" t="s">
        <v>176</v>
      </c>
      <c r="D241" s="9" t="s">
        <v>15</v>
      </c>
      <c r="E241" s="15">
        <v>175.95</v>
      </c>
      <c r="F241" s="18" t="s">
        <v>167</v>
      </c>
      <c r="G241" s="9" t="s">
        <v>15</v>
      </c>
      <c r="H241" s="17" t="s">
        <v>274</v>
      </c>
      <c r="I241" s="14" t="s">
        <v>134</v>
      </c>
      <c r="N241" s="7"/>
      <c r="O241" s="7"/>
    </row>
    <row r="242">
      <c r="A242" s="9" t="s">
        <v>9</v>
      </c>
      <c r="B242" s="23">
        <v>45492.0</v>
      </c>
      <c r="C242" s="9" t="s">
        <v>10</v>
      </c>
      <c r="D242" s="9" t="s">
        <v>15</v>
      </c>
      <c r="E242" s="15">
        <v>51.2</v>
      </c>
      <c r="F242" s="18" t="s">
        <v>167</v>
      </c>
      <c r="G242" s="9" t="s">
        <v>15</v>
      </c>
      <c r="H242" s="17" t="s">
        <v>210</v>
      </c>
      <c r="I242" s="14" t="s">
        <v>134</v>
      </c>
      <c r="N242" s="7"/>
      <c r="O242" s="7"/>
    </row>
    <row r="243">
      <c r="A243" s="9" t="s">
        <v>9</v>
      </c>
      <c r="B243" s="23">
        <v>45496.0</v>
      </c>
      <c r="C243" s="9" t="s">
        <v>189</v>
      </c>
      <c r="D243" s="9" t="s">
        <v>227</v>
      </c>
      <c r="E243" s="15">
        <v>77.0</v>
      </c>
      <c r="F243" s="18" t="s">
        <v>58</v>
      </c>
      <c r="G243" s="9" t="s">
        <v>227</v>
      </c>
      <c r="H243" s="17" t="s">
        <v>405</v>
      </c>
      <c r="I243" s="14" t="s">
        <v>406</v>
      </c>
      <c r="N243" s="7"/>
      <c r="O243" s="7"/>
    </row>
    <row r="244">
      <c r="A244" s="9" t="s">
        <v>9</v>
      </c>
      <c r="B244" s="23">
        <v>45496.0</v>
      </c>
      <c r="C244" s="9" t="s">
        <v>176</v>
      </c>
      <c r="D244" s="9" t="s">
        <v>227</v>
      </c>
      <c r="E244" s="15">
        <v>61.07</v>
      </c>
      <c r="F244" s="18" t="s">
        <v>58</v>
      </c>
      <c r="G244" s="9" t="s">
        <v>227</v>
      </c>
      <c r="H244" s="17" t="s">
        <v>370</v>
      </c>
      <c r="I244" s="14" t="s">
        <v>134</v>
      </c>
      <c r="N244" s="7"/>
      <c r="O244" s="7"/>
    </row>
    <row r="245">
      <c r="A245" s="9" t="s">
        <v>9</v>
      </c>
      <c r="B245" s="23">
        <v>45496.0</v>
      </c>
      <c r="C245" s="9" t="s">
        <v>10</v>
      </c>
      <c r="D245" s="9" t="s">
        <v>227</v>
      </c>
      <c r="E245" s="15">
        <v>56.67</v>
      </c>
      <c r="F245" s="18" t="s">
        <v>58</v>
      </c>
      <c r="G245" s="9" t="s">
        <v>227</v>
      </c>
      <c r="H245" s="17" t="s">
        <v>210</v>
      </c>
      <c r="I245" s="14" t="s">
        <v>134</v>
      </c>
      <c r="N245" s="7"/>
      <c r="O245" s="7"/>
    </row>
    <row r="246">
      <c r="A246" s="9" t="s">
        <v>9</v>
      </c>
      <c r="B246" s="23">
        <v>45496.0</v>
      </c>
      <c r="C246" s="9" t="s">
        <v>92</v>
      </c>
      <c r="D246" s="9" t="s">
        <v>227</v>
      </c>
      <c r="E246" s="15">
        <v>192.04</v>
      </c>
      <c r="F246" s="18" t="s">
        <v>58</v>
      </c>
      <c r="G246" s="9" t="s">
        <v>227</v>
      </c>
      <c r="H246" s="17" t="s">
        <v>338</v>
      </c>
      <c r="I246" s="14" t="s">
        <v>398</v>
      </c>
      <c r="N246" s="7"/>
      <c r="O246" s="7"/>
    </row>
    <row r="247">
      <c r="A247" s="9" t="s">
        <v>50</v>
      </c>
      <c r="B247" s="23">
        <v>45497.0</v>
      </c>
      <c r="C247" s="9" t="s">
        <v>92</v>
      </c>
      <c r="D247" s="9" t="s">
        <v>232</v>
      </c>
      <c r="E247" s="15">
        <v>119.07</v>
      </c>
      <c r="F247" s="18" t="s">
        <v>58</v>
      </c>
      <c r="G247" s="9" t="s">
        <v>232</v>
      </c>
      <c r="H247" s="17" t="s">
        <v>411</v>
      </c>
      <c r="I247" s="14" t="s">
        <v>398</v>
      </c>
      <c r="N247" s="7"/>
      <c r="O247" s="7"/>
    </row>
    <row r="248">
      <c r="A248" s="9" t="s">
        <v>50</v>
      </c>
      <c r="B248" s="23">
        <v>45498.0</v>
      </c>
      <c r="C248" s="9" t="s">
        <v>92</v>
      </c>
      <c r="D248" s="9" t="s">
        <v>232</v>
      </c>
      <c r="E248" s="15">
        <v>105.55</v>
      </c>
      <c r="F248" s="18" t="s">
        <v>58</v>
      </c>
      <c r="G248" s="9" t="s">
        <v>232</v>
      </c>
      <c r="H248" s="17" t="s">
        <v>412</v>
      </c>
      <c r="I248" s="14" t="s">
        <v>398</v>
      </c>
      <c r="N248" s="7"/>
      <c r="O248" s="7"/>
    </row>
    <row r="249">
      <c r="A249" s="9" t="s">
        <v>50</v>
      </c>
      <c r="B249" s="23">
        <v>45498.0</v>
      </c>
      <c r="C249" s="9" t="s">
        <v>176</v>
      </c>
      <c r="D249" s="9" t="s">
        <v>232</v>
      </c>
      <c r="E249" s="15">
        <v>56.08</v>
      </c>
      <c r="F249" s="18" t="s">
        <v>58</v>
      </c>
      <c r="G249" s="9" t="s">
        <v>232</v>
      </c>
      <c r="H249" s="17" t="s">
        <v>389</v>
      </c>
      <c r="I249" s="14" t="s">
        <v>413</v>
      </c>
      <c r="N249" s="7"/>
      <c r="O249" s="7"/>
    </row>
    <row r="250">
      <c r="A250" s="9" t="s">
        <v>50</v>
      </c>
      <c r="B250" s="23">
        <v>45498.0</v>
      </c>
      <c r="C250" s="9" t="s">
        <v>189</v>
      </c>
      <c r="D250" s="9" t="s">
        <v>232</v>
      </c>
      <c r="E250" s="15">
        <v>21.01</v>
      </c>
      <c r="F250" s="18" t="s">
        <v>58</v>
      </c>
      <c r="G250" s="9" t="s">
        <v>232</v>
      </c>
      <c r="H250" s="17" t="s">
        <v>361</v>
      </c>
      <c r="I250" s="14" t="s">
        <v>406</v>
      </c>
      <c r="N250" s="7"/>
      <c r="O250" s="7"/>
    </row>
    <row r="251">
      <c r="A251" s="9" t="s">
        <v>9</v>
      </c>
      <c r="B251" s="23">
        <v>45499.0</v>
      </c>
      <c r="C251" s="9" t="s">
        <v>92</v>
      </c>
      <c r="D251" s="9" t="s">
        <v>391</v>
      </c>
      <c r="E251" s="15">
        <v>113.91</v>
      </c>
      <c r="F251" s="18" t="s">
        <v>85</v>
      </c>
      <c r="G251" s="9" t="s">
        <v>391</v>
      </c>
      <c r="H251" s="17" t="s">
        <v>411</v>
      </c>
      <c r="I251" s="14" t="s">
        <v>398</v>
      </c>
      <c r="N251" s="7"/>
      <c r="O251" s="7"/>
    </row>
    <row r="252">
      <c r="A252" s="9" t="s">
        <v>9</v>
      </c>
      <c r="B252" s="23">
        <v>45499.0</v>
      </c>
      <c r="C252" s="9" t="s">
        <v>176</v>
      </c>
      <c r="D252" s="9" t="s">
        <v>391</v>
      </c>
      <c r="E252" s="15">
        <v>55.7</v>
      </c>
      <c r="F252" s="18" t="s">
        <v>85</v>
      </c>
      <c r="G252" s="9" t="s">
        <v>391</v>
      </c>
      <c r="H252" s="17" t="s">
        <v>389</v>
      </c>
      <c r="I252" s="14" t="s">
        <v>134</v>
      </c>
      <c r="N252" s="7"/>
      <c r="O252" s="7"/>
    </row>
    <row r="253">
      <c r="A253" s="9" t="s">
        <v>9</v>
      </c>
      <c r="B253" s="23">
        <v>45499.0</v>
      </c>
      <c r="C253" s="9" t="s">
        <v>189</v>
      </c>
      <c r="D253" s="9" t="s">
        <v>391</v>
      </c>
      <c r="E253" s="15">
        <v>41.09</v>
      </c>
      <c r="F253" s="18" t="s">
        <v>85</v>
      </c>
      <c r="G253" s="9" t="s">
        <v>391</v>
      </c>
      <c r="H253" s="17" t="s">
        <v>358</v>
      </c>
      <c r="I253" s="14" t="s">
        <v>406</v>
      </c>
      <c r="N253" s="7"/>
      <c r="O253" s="7"/>
    </row>
    <row r="254">
      <c r="A254" s="9" t="s">
        <v>9</v>
      </c>
      <c r="B254" s="23">
        <v>45502.0</v>
      </c>
      <c r="C254" s="9" t="s">
        <v>189</v>
      </c>
      <c r="D254" s="9" t="s">
        <v>11</v>
      </c>
      <c r="E254" s="70">
        <v>103.55</v>
      </c>
      <c r="F254" s="18" t="s">
        <v>85</v>
      </c>
      <c r="G254" s="9" t="s">
        <v>11</v>
      </c>
      <c r="H254" s="71" t="s">
        <v>382</v>
      </c>
      <c r="I254" s="14" t="s">
        <v>406</v>
      </c>
      <c r="N254" s="7"/>
      <c r="O254" s="7"/>
    </row>
    <row r="255">
      <c r="A255" s="9" t="s">
        <v>9</v>
      </c>
      <c r="B255" s="72">
        <v>45502.0</v>
      </c>
      <c r="C255" s="9" t="s">
        <v>92</v>
      </c>
      <c r="D255" s="9" t="s">
        <v>11</v>
      </c>
      <c r="E255" s="70">
        <v>141.44</v>
      </c>
      <c r="F255" s="18" t="s">
        <v>85</v>
      </c>
      <c r="G255" s="9" t="s">
        <v>11</v>
      </c>
      <c r="H255" s="71" t="s">
        <v>307</v>
      </c>
      <c r="I255" s="14" t="s">
        <v>398</v>
      </c>
      <c r="N255" s="7"/>
      <c r="O255" s="7"/>
    </row>
    <row r="256">
      <c r="A256" s="9" t="s">
        <v>9</v>
      </c>
      <c r="B256" s="72">
        <v>45502.0</v>
      </c>
      <c r="C256" s="9" t="s">
        <v>176</v>
      </c>
      <c r="D256" s="9" t="s">
        <v>11</v>
      </c>
      <c r="E256" s="70">
        <v>68.78</v>
      </c>
      <c r="F256" s="18" t="s">
        <v>85</v>
      </c>
      <c r="G256" s="9" t="s">
        <v>11</v>
      </c>
      <c r="H256" s="71" t="s">
        <v>380</v>
      </c>
      <c r="I256" s="14" t="s">
        <v>414</v>
      </c>
      <c r="N256" s="7"/>
      <c r="O256" s="7"/>
    </row>
    <row r="257">
      <c r="A257" s="9" t="s">
        <v>9</v>
      </c>
      <c r="B257" s="72">
        <v>45502.0</v>
      </c>
      <c r="C257" s="9" t="s">
        <v>10</v>
      </c>
      <c r="D257" s="9" t="s">
        <v>11</v>
      </c>
      <c r="E257" s="70">
        <v>18.55</v>
      </c>
      <c r="F257" s="18" t="s">
        <v>85</v>
      </c>
      <c r="G257" s="9" t="s">
        <v>11</v>
      </c>
      <c r="H257" s="71" t="s">
        <v>408</v>
      </c>
      <c r="I257" s="14" t="s">
        <v>414</v>
      </c>
      <c r="N257" s="7"/>
      <c r="O257" s="7"/>
    </row>
    <row r="258">
      <c r="A258" s="9" t="s">
        <v>9</v>
      </c>
      <c r="B258" s="72">
        <v>45503.0</v>
      </c>
      <c r="C258" s="9" t="s">
        <v>92</v>
      </c>
      <c r="D258" s="9" t="s">
        <v>15</v>
      </c>
      <c r="E258" s="70">
        <v>214.5</v>
      </c>
      <c r="F258" s="18" t="s">
        <v>85</v>
      </c>
      <c r="G258" s="9" t="s">
        <v>15</v>
      </c>
      <c r="H258" s="71" t="s">
        <v>230</v>
      </c>
      <c r="I258" s="14" t="s">
        <v>398</v>
      </c>
      <c r="N258" s="7"/>
      <c r="O258" s="7"/>
    </row>
    <row r="259">
      <c r="A259" s="9" t="s">
        <v>9</v>
      </c>
      <c r="B259" s="72">
        <v>45503.0</v>
      </c>
      <c r="C259" s="9" t="s">
        <v>189</v>
      </c>
      <c r="D259" s="9" t="s">
        <v>15</v>
      </c>
      <c r="E259" s="70">
        <v>89.9</v>
      </c>
      <c r="F259" s="18" t="s">
        <v>85</v>
      </c>
      <c r="G259" s="9" t="s">
        <v>15</v>
      </c>
      <c r="H259" s="71" t="s">
        <v>405</v>
      </c>
      <c r="I259" s="14" t="s">
        <v>122</v>
      </c>
      <c r="N259" s="7"/>
      <c r="O259" s="7"/>
    </row>
    <row r="260">
      <c r="A260" s="9" t="s">
        <v>9</v>
      </c>
      <c r="B260" s="72">
        <v>45503.0</v>
      </c>
      <c r="C260" s="9" t="s">
        <v>176</v>
      </c>
      <c r="D260" s="9" t="s">
        <v>15</v>
      </c>
      <c r="E260" s="70">
        <v>130.01</v>
      </c>
      <c r="F260" s="18" t="s">
        <v>85</v>
      </c>
      <c r="G260" s="9" t="s">
        <v>15</v>
      </c>
      <c r="H260" s="71" t="s">
        <v>298</v>
      </c>
      <c r="I260" s="14" t="s">
        <v>134</v>
      </c>
      <c r="N260" s="7"/>
      <c r="O260" s="7"/>
    </row>
    <row r="261">
      <c r="A261" s="9" t="s">
        <v>9</v>
      </c>
      <c r="B261" s="72">
        <v>45503.0</v>
      </c>
      <c r="C261" s="9" t="s">
        <v>10</v>
      </c>
      <c r="D261" s="9" t="s">
        <v>15</v>
      </c>
      <c r="E261" s="70">
        <v>15.67</v>
      </c>
      <c r="F261" s="18" t="s">
        <v>85</v>
      </c>
      <c r="G261" s="9" t="s">
        <v>15</v>
      </c>
      <c r="H261" s="71" t="s">
        <v>408</v>
      </c>
      <c r="I261" s="14" t="s">
        <v>415</v>
      </c>
      <c r="N261" s="7"/>
      <c r="O261" s="7"/>
    </row>
    <row r="262">
      <c r="A262" s="9" t="s">
        <v>50</v>
      </c>
      <c r="B262" s="72">
        <v>45505.0</v>
      </c>
      <c r="C262" s="9" t="s">
        <v>189</v>
      </c>
      <c r="D262" s="9" t="s">
        <v>227</v>
      </c>
      <c r="E262" s="15">
        <v>44.01</v>
      </c>
      <c r="F262" s="18" t="s">
        <v>123</v>
      </c>
      <c r="G262" s="9" t="s">
        <v>227</v>
      </c>
      <c r="H262" s="17" t="s">
        <v>358</v>
      </c>
      <c r="N262" s="7"/>
      <c r="O262" s="7"/>
    </row>
    <row r="263">
      <c r="A263" s="9" t="s">
        <v>50</v>
      </c>
      <c r="B263" s="72">
        <v>45505.0</v>
      </c>
      <c r="C263" s="9" t="s">
        <v>176</v>
      </c>
      <c r="D263" s="9" t="s">
        <v>227</v>
      </c>
      <c r="E263" s="15">
        <v>47.35</v>
      </c>
      <c r="F263" s="18" t="s">
        <v>123</v>
      </c>
      <c r="G263" s="9" t="s">
        <v>227</v>
      </c>
      <c r="H263" s="17" t="s">
        <v>389</v>
      </c>
      <c r="N263" s="7"/>
      <c r="O263" s="7"/>
    </row>
    <row r="264">
      <c r="A264" s="9" t="s">
        <v>50</v>
      </c>
      <c r="B264" s="72">
        <v>45505.0</v>
      </c>
      <c r="C264" s="9" t="s">
        <v>10</v>
      </c>
      <c r="D264" s="9" t="s">
        <v>227</v>
      </c>
      <c r="E264" s="15">
        <v>14.5</v>
      </c>
      <c r="F264" s="18" t="s">
        <v>123</v>
      </c>
      <c r="G264" s="9" t="s">
        <v>227</v>
      </c>
      <c r="H264" s="17" t="s">
        <v>408</v>
      </c>
      <c r="N264" s="7"/>
      <c r="O264" s="7"/>
    </row>
    <row r="265">
      <c r="A265" s="9" t="s">
        <v>50</v>
      </c>
      <c r="B265" s="72">
        <v>45505.0</v>
      </c>
      <c r="C265" s="9" t="s">
        <v>92</v>
      </c>
      <c r="D265" s="9" t="s">
        <v>227</v>
      </c>
      <c r="E265" s="15">
        <v>137.44</v>
      </c>
      <c r="F265" s="18" t="s">
        <v>123</v>
      </c>
      <c r="G265" s="9" t="s">
        <v>227</v>
      </c>
      <c r="H265" s="17" t="s">
        <v>411</v>
      </c>
      <c r="N265" s="7"/>
      <c r="O265" s="7"/>
    </row>
    <row r="266">
      <c r="A266" s="9" t="s">
        <v>50</v>
      </c>
      <c r="B266" s="72">
        <v>45509.0</v>
      </c>
      <c r="C266" s="9" t="s">
        <v>92</v>
      </c>
      <c r="D266" s="9" t="s">
        <v>232</v>
      </c>
      <c r="E266" s="15">
        <v>161.0</v>
      </c>
      <c r="F266" s="18" t="s">
        <v>123</v>
      </c>
      <c r="G266" s="9" t="s">
        <v>232</v>
      </c>
      <c r="H266" s="17" t="s">
        <v>244</v>
      </c>
      <c r="N266" s="7"/>
      <c r="O266" s="7"/>
    </row>
    <row r="267">
      <c r="A267" s="9" t="s">
        <v>50</v>
      </c>
      <c r="B267" s="72">
        <v>45509.0</v>
      </c>
      <c r="C267" s="9" t="s">
        <v>10</v>
      </c>
      <c r="D267" s="9" t="s">
        <v>232</v>
      </c>
      <c r="E267" s="15">
        <v>61.35</v>
      </c>
      <c r="F267" s="18" t="s">
        <v>123</v>
      </c>
      <c r="G267" s="9" t="s">
        <v>232</v>
      </c>
      <c r="H267" s="17" t="s">
        <v>210</v>
      </c>
      <c r="N267" s="7"/>
      <c r="O267" s="7"/>
    </row>
    <row r="268">
      <c r="A268" s="9" t="s">
        <v>50</v>
      </c>
      <c r="B268" s="72">
        <v>45509.0</v>
      </c>
      <c r="C268" s="9" t="s">
        <v>176</v>
      </c>
      <c r="D268" s="9" t="s">
        <v>232</v>
      </c>
      <c r="E268" s="15">
        <v>89.15</v>
      </c>
      <c r="F268" s="18" t="s">
        <v>123</v>
      </c>
      <c r="G268" s="9" t="s">
        <v>232</v>
      </c>
      <c r="H268" s="17" t="s">
        <v>376</v>
      </c>
      <c r="N268" s="7"/>
      <c r="O268" s="7"/>
    </row>
    <row r="269">
      <c r="A269" s="9" t="s">
        <v>50</v>
      </c>
      <c r="B269" s="72">
        <v>45509.0</v>
      </c>
      <c r="C269" s="9" t="s">
        <v>189</v>
      </c>
      <c r="D269" s="9" t="s">
        <v>232</v>
      </c>
      <c r="E269" s="15">
        <v>78.55</v>
      </c>
      <c r="F269" s="18" t="s">
        <v>123</v>
      </c>
      <c r="G269" s="9" t="s">
        <v>232</v>
      </c>
      <c r="H269" s="17" t="s">
        <v>405</v>
      </c>
      <c r="N269" s="7"/>
      <c r="O269" s="7"/>
    </row>
    <row r="270">
      <c r="A270" s="9" t="s">
        <v>9</v>
      </c>
      <c r="B270" s="72">
        <v>45511.0</v>
      </c>
      <c r="C270" s="9" t="s">
        <v>189</v>
      </c>
      <c r="D270" s="9" t="s">
        <v>391</v>
      </c>
      <c r="E270" s="15">
        <v>58.01</v>
      </c>
      <c r="F270" s="18" t="s">
        <v>89</v>
      </c>
      <c r="G270" s="9" t="s">
        <v>391</v>
      </c>
      <c r="H270" s="17" t="s">
        <v>372</v>
      </c>
      <c r="N270" s="7"/>
      <c r="O270" s="7"/>
    </row>
    <row r="271">
      <c r="A271" s="9" t="s">
        <v>9</v>
      </c>
      <c r="B271" s="72">
        <v>45511.0</v>
      </c>
      <c r="C271" s="9" t="s">
        <v>10</v>
      </c>
      <c r="D271" s="9" t="s">
        <v>391</v>
      </c>
      <c r="E271" s="15">
        <v>29.3</v>
      </c>
      <c r="F271" s="18" t="s">
        <v>89</v>
      </c>
      <c r="G271" s="9" t="s">
        <v>391</v>
      </c>
      <c r="H271" s="17" t="s">
        <v>225</v>
      </c>
      <c r="N271" s="7"/>
      <c r="O271" s="7"/>
    </row>
    <row r="272">
      <c r="A272" s="9" t="s">
        <v>9</v>
      </c>
      <c r="B272" s="72">
        <v>45511.0</v>
      </c>
      <c r="C272" s="9" t="s">
        <v>92</v>
      </c>
      <c r="D272" s="9" t="s">
        <v>391</v>
      </c>
      <c r="E272" s="15">
        <v>163.16</v>
      </c>
      <c r="F272" s="18" t="s">
        <v>89</v>
      </c>
      <c r="G272" s="9" t="s">
        <v>391</v>
      </c>
      <c r="H272" s="44" t="s">
        <v>244</v>
      </c>
      <c r="N272" s="7"/>
      <c r="O272" s="7"/>
    </row>
    <row r="273">
      <c r="A273" s="9" t="s">
        <v>9</v>
      </c>
      <c r="B273" s="72">
        <v>45511.0</v>
      </c>
      <c r="C273" s="9" t="s">
        <v>176</v>
      </c>
      <c r="D273" s="9" t="s">
        <v>391</v>
      </c>
      <c r="E273" s="15">
        <v>125.16</v>
      </c>
      <c r="F273" s="18" t="s">
        <v>89</v>
      </c>
      <c r="G273" s="9" t="s">
        <v>391</v>
      </c>
      <c r="H273" s="17" t="s">
        <v>298</v>
      </c>
      <c r="N273" s="7"/>
      <c r="O273" s="7"/>
    </row>
    <row r="274">
      <c r="A274" s="9" t="s">
        <v>9</v>
      </c>
      <c r="B274" s="72">
        <v>45513.0</v>
      </c>
      <c r="C274" s="9" t="s">
        <v>189</v>
      </c>
      <c r="D274" s="9" t="s">
        <v>227</v>
      </c>
      <c r="E274" s="15">
        <v>43.57</v>
      </c>
      <c r="F274" s="18" t="s">
        <v>85</v>
      </c>
      <c r="G274" s="9" t="s">
        <v>227</v>
      </c>
      <c r="H274" s="17" t="s">
        <v>358</v>
      </c>
      <c r="N274" s="7"/>
      <c r="O274" s="7"/>
    </row>
    <row r="275">
      <c r="A275" s="9" t="s">
        <v>9</v>
      </c>
      <c r="B275" s="72">
        <v>45513.0</v>
      </c>
      <c r="C275" s="9" t="s">
        <v>92</v>
      </c>
      <c r="D275" s="9" t="s">
        <v>227</v>
      </c>
      <c r="E275" s="15">
        <v>100.98</v>
      </c>
      <c r="F275" s="18" t="s">
        <v>85</v>
      </c>
      <c r="G275" s="9" t="s">
        <v>227</v>
      </c>
      <c r="H275" s="17" t="s">
        <v>416</v>
      </c>
      <c r="N275" s="7"/>
      <c r="O275" s="7"/>
    </row>
    <row r="276">
      <c r="A276" s="9" t="s">
        <v>9</v>
      </c>
      <c r="B276" s="72">
        <v>45513.0</v>
      </c>
      <c r="C276" s="9" t="s">
        <v>176</v>
      </c>
      <c r="D276" s="9" t="s">
        <v>227</v>
      </c>
      <c r="E276" s="15">
        <v>105.36</v>
      </c>
      <c r="F276" s="18" t="s">
        <v>85</v>
      </c>
      <c r="G276" s="9" t="s">
        <v>227</v>
      </c>
      <c r="H276" s="17" t="s">
        <v>301</v>
      </c>
      <c r="N276" s="7"/>
      <c r="O276" s="7"/>
    </row>
    <row r="277">
      <c r="A277" s="9" t="s">
        <v>9</v>
      </c>
      <c r="B277" s="72">
        <v>45516.0</v>
      </c>
      <c r="C277" s="9" t="s">
        <v>92</v>
      </c>
      <c r="D277" s="9" t="s">
        <v>232</v>
      </c>
      <c r="E277" s="15">
        <v>253.35</v>
      </c>
      <c r="F277" s="18" t="s">
        <v>85</v>
      </c>
      <c r="G277" s="9" t="s">
        <v>232</v>
      </c>
      <c r="H277" s="17" t="s">
        <v>338</v>
      </c>
      <c r="N277" s="7"/>
      <c r="O277" s="7"/>
    </row>
    <row r="278">
      <c r="A278" s="9" t="s">
        <v>9</v>
      </c>
      <c r="B278" s="72">
        <v>45516.0</v>
      </c>
      <c r="C278" s="9" t="s">
        <v>10</v>
      </c>
      <c r="D278" s="9" t="s">
        <v>232</v>
      </c>
      <c r="E278" s="15">
        <v>66.77</v>
      </c>
      <c r="F278" s="18" t="s">
        <v>85</v>
      </c>
      <c r="G278" s="9" t="s">
        <v>232</v>
      </c>
      <c r="H278" s="17" t="s">
        <v>417</v>
      </c>
      <c r="N278" s="7"/>
      <c r="O278" s="7"/>
    </row>
    <row r="279">
      <c r="A279" s="9" t="s">
        <v>9</v>
      </c>
      <c r="B279" s="72">
        <v>45516.0</v>
      </c>
      <c r="C279" s="9" t="s">
        <v>176</v>
      </c>
      <c r="D279" s="9" t="s">
        <v>232</v>
      </c>
      <c r="E279" s="15">
        <v>180.12</v>
      </c>
      <c r="F279" s="18" t="s">
        <v>85</v>
      </c>
      <c r="G279" s="9" t="s">
        <v>232</v>
      </c>
      <c r="H279" s="17" t="s">
        <v>309</v>
      </c>
      <c r="N279" s="7"/>
      <c r="O279" s="7"/>
    </row>
    <row r="280">
      <c r="A280" s="9" t="s">
        <v>9</v>
      </c>
      <c r="B280" s="72">
        <v>45516.0</v>
      </c>
      <c r="C280" s="9" t="s">
        <v>189</v>
      </c>
      <c r="D280" s="9" t="s">
        <v>232</v>
      </c>
      <c r="E280" s="15">
        <v>101.9</v>
      </c>
      <c r="F280" s="18" t="s">
        <v>85</v>
      </c>
      <c r="G280" s="9" t="s">
        <v>232</v>
      </c>
      <c r="H280" s="17" t="s">
        <v>418</v>
      </c>
      <c r="I280" s="14"/>
      <c r="N280" s="7"/>
      <c r="O280" s="7"/>
    </row>
    <row r="281">
      <c r="A281" s="9" t="s">
        <v>9</v>
      </c>
      <c r="B281" s="72">
        <v>45518.0</v>
      </c>
      <c r="C281" s="9" t="s">
        <v>10</v>
      </c>
      <c r="D281" s="9" t="s">
        <v>391</v>
      </c>
      <c r="E281" s="15">
        <v>22.3</v>
      </c>
      <c r="F281" s="18" t="s">
        <v>85</v>
      </c>
      <c r="G281" s="9" t="s">
        <v>391</v>
      </c>
      <c r="H281" s="17" t="s">
        <v>419</v>
      </c>
      <c r="I281" s="14"/>
      <c r="N281" s="7"/>
      <c r="O281" s="7"/>
    </row>
    <row r="282">
      <c r="A282" s="9" t="s">
        <v>9</v>
      </c>
      <c r="B282" s="72">
        <v>45518.0</v>
      </c>
      <c r="C282" s="9" t="s">
        <v>189</v>
      </c>
      <c r="D282" s="9" t="s">
        <v>391</v>
      </c>
      <c r="E282" s="15">
        <v>50.45</v>
      </c>
      <c r="F282" s="18" t="s">
        <v>85</v>
      </c>
      <c r="G282" s="9" t="s">
        <v>391</v>
      </c>
      <c r="H282" s="17" t="s">
        <v>372</v>
      </c>
      <c r="I282" s="14"/>
      <c r="N282" s="7"/>
      <c r="O282" s="7"/>
    </row>
    <row r="283">
      <c r="A283" s="9" t="s">
        <v>9</v>
      </c>
      <c r="B283" s="72">
        <v>45518.0</v>
      </c>
      <c r="C283" s="9" t="s">
        <v>176</v>
      </c>
      <c r="D283" s="9" t="s">
        <v>391</v>
      </c>
      <c r="E283" s="15">
        <v>82.0</v>
      </c>
      <c r="F283" s="18" t="s">
        <v>85</v>
      </c>
      <c r="G283" s="9" t="s">
        <v>391</v>
      </c>
      <c r="H283" s="17" t="s">
        <v>420</v>
      </c>
      <c r="I283" s="14"/>
      <c r="N283" s="7"/>
      <c r="O283" s="7"/>
    </row>
    <row r="284">
      <c r="A284" s="9" t="s">
        <v>9</v>
      </c>
      <c r="B284" s="72">
        <v>45518.0</v>
      </c>
      <c r="C284" s="9" t="s">
        <v>92</v>
      </c>
      <c r="D284" s="9" t="s">
        <v>391</v>
      </c>
      <c r="E284" s="15">
        <v>209.85</v>
      </c>
      <c r="F284" s="18" t="s">
        <v>85</v>
      </c>
      <c r="G284" s="9" t="s">
        <v>391</v>
      </c>
      <c r="H284" s="17" t="s">
        <v>409</v>
      </c>
      <c r="I284" s="14" t="s">
        <v>421</v>
      </c>
      <c r="N284" s="7"/>
      <c r="O284" s="7"/>
    </row>
    <row r="285">
      <c r="A285" s="9" t="s">
        <v>9</v>
      </c>
      <c r="B285" s="72">
        <v>45520.0</v>
      </c>
      <c r="C285" s="9" t="s">
        <v>189</v>
      </c>
      <c r="D285" s="9" t="s">
        <v>67</v>
      </c>
      <c r="E285" s="15">
        <v>62.1</v>
      </c>
      <c r="F285" s="18" t="s">
        <v>422</v>
      </c>
      <c r="G285" s="9" t="s">
        <v>67</v>
      </c>
      <c r="H285" s="17" t="s">
        <v>372</v>
      </c>
      <c r="I285" s="14" t="s">
        <v>423</v>
      </c>
      <c r="N285" s="7"/>
      <c r="O285" s="7"/>
    </row>
    <row r="286">
      <c r="A286" s="9" t="s">
        <v>9</v>
      </c>
      <c r="B286" s="72">
        <v>45520.0</v>
      </c>
      <c r="C286" s="9" t="s">
        <v>176</v>
      </c>
      <c r="D286" s="9" t="s">
        <v>67</v>
      </c>
      <c r="E286" s="15">
        <v>92.1</v>
      </c>
      <c r="F286" s="18" t="s">
        <v>422</v>
      </c>
      <c r="G286" s="9" t="s">
        <v>67</v>
      </c>
      <c r="H286" s="17" t="s">
        <v>376</v>
      </c>
      <c r="I286" s="14"/>
      <c r="N286" s="7"/>
      <c r="O286" s="7"/>
    </row>
    <row r="287">
      <c r="A287" s="9" t="s">
        <v>9</v>
      </c>
      <c r="B287" s="72">
        <v>45520.0</v>
      </c>
      <c r="C287" s="9" t="s">
        <v>10</v>
      </c>
      <c r="D287" s="9" t="s">
        <v>67</v>
      </c>
      <c r="E287" s="15">
        <v>22.71</v>
      </c>
      <c r="F287" s="18" t="s">
        <v>422</v>
      </c>
      <c r="G287" s="9" t="s">
        <v>67</v>
      </c>
      <c r="H287" s="17" t="s">
        <v>408</v>
      </c>
      <c r="I287" s="14"/>
      <c r="N287" s="7"/>
      <c r="O287" s="7"/>
    </row>
    <row r="288">
      <c r="A288" s="9" t="s">
        <v>9</v>
      </c>
      <c r="B288" s="72">
        <v>45520.0</v>
      </c>
      <c r="C288" s="9" t="s">
        <v>92</v>
      </c>
      <c r="D288" s="9" t="s">
        <v>67</v>
      </c>
      <c r="E288" s="15">
        <v>121.76</v>
      </c>
      <c r="F288" s="18" t="s">
        <v>422</v>
      </c>
      <c r="G288" s="9" t="s">
        <v>67</v>
      </c>
      <c r="H288" s="17" t="s">
        <v>424</v>
      </c>
      <c r="I288" s="14"/>
      <c r="N288" s="7"/>
      <c r="O288" s="7"/>
    </row>
    <row r="289">
      <c r="A289" s="9" t="s">
        <v>9</v>
      </c>
      <c r="B289" s="72">
        <v>45523.0</v>
      </c>
      <c r="C289" s="9" t="s">
        <v>92</v>
      </c>
      <c r="D289" s="9" t="s">
        <v>69</v>
      </c>
      <c r="E289" s="15">
        <v>285.67</v>
      </c>
      <c r="F289" s="18" t="s">
        <v>422</v>
      </c>
      <c r="G289" s="9" t="s">
        <v>69</v>
      </c>
      <c r="H289" s="17" t="s">
        <v>244</v>
      </c>
      <c r="I289" s="14"/>
      <c r="N289" s="7"/>
      <c r="O289" s="7"/>
    </row>
    <row r="290">
      <c r="A290" s="9" t="s">
        <v>9</v>
      </c>
      <c r="B290" s="72">
        <v>45525.0</v>
      </c>
      <c r="C290" s="9" t="s">
        <v>92</v>
      </c>
      <c r="D290" s="9" t="s">
        <v>70</v>
      </c>
      <c r="E290" s="15">
        <v>255.89</v>
      </c>
      <c r="F290" s="18" t="s">
        <v>422</v>
      </c>
      <c r="G290" s="9" t="s">
        <v>70</v>
      </c>
      <c r="H290" s="17" t="s">
        <v>338</v>
      </c>
      <c r="I290" s="14"/>
      <c r="N290" s="7"/>
      <c r="O290" s="7"/>
    </row>
    <row r="291">
      <c r="A291" s="9" t="s">
        <v>9</v>
      </c>
      <c r="B291" s="72">
        <v>45525.0</v>
      </c>
      <c r="C291" s="9" t="s">
        <v>189</v>
      </c>
      <c r="D291" s="9" t="s">
        <v>70</v>
      </c>
      <c r="E291" s="15">
        <v>41.01</v>
      </c>
      <c r="F291" s="18" t="s">
        <v>422</v>
      </c>
      <c r="G291" s="9" t="s">
        <v>70</v>
      </c>
      <c r="H291" s="17" t="s">
        <v>358</v>
      </c>
      <c r="I291" s="14"/>
      <c r="N291" s="7"/>
      <c r="O291" s="7"/>
    </row>
    <row r="292">
      <c r="A292" s="9" t="s">
        <v>9</v>
      </c>
      <c r="B292" s="72">
        <v>45527.0</v>
      </c>
      <c r="C292" s="9" t="s">
        <v>10</v>
      </c>
      <c r="D292" s="9" t="s">
        <v>70</v>
      </c>
      <c r="E292" s="15">
        <v>18.75</v>
      </c>
      <c r="F292" s="18" t="s">
        <v>422</v>
      </c>
      <c r="G292" s="9" t="s">
        <v>70</v>
      </c>
      <c r="H292" s="17" t="s">
        <v>408</v>
      </c>
      <c r="I292" s="14"/>
      <c r="N292" s="7"/>
      <c r="O292" s="7"/>
    </row>
    <row r="293">
      <c r="A293" s="9" t="s">
        <v>9</v>
      </c>
      <c r="B293" s="72">
        <v>45527.0</v>
      </c>
      <c r="C293" s="9" t="s">
        <v>189</v>
      </c>
      <c r="D293" s="9" t="s">
        <v>70</v>
      </c>
      <c r="E293" s="15">
        <v>47.2</v>
      </c>
      <c r="F293" s="18" t="s">
        <v>422</v>
      </c>
      <c r="G293" s="9" t="s">
        <v>70</v>
      </c>
      <c r="H293" s="17" t="s">
        <v>358</v>
      </c>
      <c r="I293" s="14"/>
      <c r="N293" s="7"/>
      <c r="O293" s="7"/>
    </row>
    <row r="294">
      <c r="A294" s="9" t="s">
        <v>9</v>
      </c>
      <c r="B294" s="72">
        <v>45527.0</v>
      </c>
      <c r="C294" s="9" t="s">
        <v>92</v>
      </c>
      <c r="D294" s="9" t="s">
        <v>70</v>
      </c>
      <c r="E294" s="15">
        <v>221.1</v>
      </c>
      <c r="F294" s="18" t="s">
        <v>422</v>
      </c>
      <c r="G294" s="9" t="s">
        <v>70</v>
      </c>
      <c r="H294" s="17" t="s">
        <v>244</v>
      </c>
      <c r="I294" s="14"/>
      <c r="N294" s="7"/>
      <c r="O294" s="7"/>
    </row>
    <row r="295">
      <c r="A295" s="9" t="s">
        <v>9</v>
      </c>
      <c r="B295" s="72">
        <v>45530.0</v>
      </c>
      <c r="C295" s="9" t="s">
        <v>189</v>
      </c>
      <c r="D295" s="9" t="s">
        <v>67</v>
      </c>
      <c r="E295" s="15">
        <v>151.01</v>
      </c>
      <c r="F295" s="18" t="s">
        <v>425</v>
      </c>
      <c r="G295" s="9" t="s">
        <v>70</v>
      </c>
      <c r="H295" s="17" t="s">
        <v>426</v>
      </c>
      <c r="I295" s="14"/>
      <c r="N295" s="7"/>
      <c r="O295" s="7"/>
    </row>
    <row r="296">
      <c r="A296" s="9" t="s">
        <v>9</v>
      </c>
      <c r="B296" s="23">
        <v>45530.0</v>
      </c>
      <c r="C296" s="9" t="s">
        <v>92</v>
      </c>
      <c r="D296" s="9" t="s">
        <v>67</v>
      </c>
      <c r="E296" s="15">
        <v>293.52</v>
      </c>
      <c r="F296" s="18" t="s">
        <v>425</v>
      </c>
      <c r="G296" s="9" t="s">
        <v>70</v>
      </c>
      <c r="H296" s="17" t="s">
        <v>233</v>
      </c>
      <c r="I296" s="14"/>
      <c r="N296" s="7"/>
      <c r="O296" s="7"/>
    </row>
    <row r="297">
      <c r="A297" s="9" t="s">
        <v>9</v>
      </c>
      <c r="B297" s="23">
        <v>45530.0</v>
      </c>
      <c r="C297" s="9" t="s">
        <v>10</v>
      </c>
      <c r="D297" s="9" t="s">
        <v>67</v>
      </c>
      <c r="E297" s="15">
        <v>57.92</v>
      </c>
      <c r="F297" s="18" t="s">
        <v>425</v>
      </c>
      <c r="G297" s="9" t="s">
        <v>70</v>
      </c>
      <c r="H297" s="17" t="s">
        <v>210</v>
      </c>
      <c r="I297" s="14"/>
      <c r="N297" s="7"/>
      <c r="O297" s="7"/>
    </row>
    <row r="298">
      <c r="A298" s="9" t="s">
        <v>9</v>
      </c>
      <c r="B298" s="23">
        <v>45532.0</v>
      </c>
      <c r="C298" s="9" t="s">
        <v>10</v>
      </c>
      <c r="D298" s="9" t="s">
        <v>69</v>
      </c>
      <c r="E298" s="15">
        <v>8.75</v>
      </c>
      <c r="F298" s="18" t="s">
        <v>76</v>
      </c>
      <c r="G298" s="9" t="s">
        <v>69</v>
      </c>
      <c r="H298" s="17" t="s">
        <v>408</v>
      </c>
      <c r="I298" s="14"/>
      <c r="N298" s="7"/>
      <c r="O298" s="7"/>
    </row>
    <row r="299">
      <c r="A299" s="9" t="s">
        <v>9</v>
      </c>
      <c r="B299" s="23">
        <v>45532.0</v>
      </c>
      <c r="C299" s="9" t="s">
        <v>189</v>
      </c>
      <c r="D299" s="9" t="s">
        <v>69</v>
      </c>
      <c r="E299" s="15">
        <v>42.75</v>
      </c>
      <c r="F299" s="18" t="s">
        <v>76</v>
      </c>
      <c r="G299" s="9" t="s">
        <v>69</v>
      </c>
      <c r="H299" s="17" t="s">
        <v>358</v>
      </c>
      <c r="I299" s="14"/>
      <c r="N299" s="7"/>
      <c r="O299" s="7"/>
    </row>
    <row r="300">
      <c r="A300" s="9" t="s">
        <v>9</v>
      </c>
      <c r="B300" s="23">
        <v>45532.0</v>
      </c>
      <c r="C300" s="9" t="s">
        <v>92</v>
      </c>
      <c r="D300" s="9" t="s">
        <v>69</v>
      </c>
      <c r="E300" s="15">
        <v>257.85</v>
      </c>
      <c r="F300" s="18" t="s">
        <v>76</v>
      </c>
      <c r="G300" s="9" t="s">
        <v>69</v>
      </c>
      <c r="H300" s="17" t="s">
        <v>307</v>
      </c>
      <c r="I300" s="14"/>
      <c r="N300" s="7"/>
      <c r="O300" s="7"/>
    </row>
    <row r="301">
      <c r="A301" s="9" t="s">
        <v>9</v>
      </c>
      <c r="B301" s="23">
        <v>45534.0</v>
      </c>
      <c r="C301" s="9" t="s">
        <v>189</v>
      </c>
      <c r="D301" s="9" t="s">
        <v>70</v>
      </c>
      <c r="E301" s="15">
        <v>46.3</v>
      </c>
      <c r="F301" s="18" t="s">
        <v>76</v>
      </c>
      <c r="G301" s="9" t="s">
        <v>70</v>
      </c>
      <c r="H301" s="17" t="s">
        <v>358</v>
      </c>
      <c r="I301" s="14"/>
      <c r="N301" s="7"/>
      <c r="O301" s="7"/>
    </row>
    <row r="302">
      <c r="A302" s="9" t="s">
        <v>9</v>
      </c>
      <c r="B302" s="23">
        <v>45534.0</v>
      </c>
      <c r="C302" s="9" t="s">
        <v>10</v>
      </c>
      <c r="D302" s="9" t="s">
        <v>70</v>
      </c>
      <c r="E302" s="15">
        <v>158.16</v>
      </c>
      <c r="F302" s="18" t="s">
        <v>76</v>
      </c>
      <c r="G302" s="9" t="s">
        <v>70</v>
      </c>
      <c r="H302" s="17" t="s">
        <v>417</v>
      </c>
      <c r="I302" s="14"/>
      <c r="N302" s="7"/>
      <c r="O302" s="7"/>
    </row>
    <row r="303">
      <c r="A303" s="9" t="s">
        <v>9</v>
      </c>
      <c r="B303" s="23">
        <v>45534.0</v>
      </c>
      <c r="C303" s="9" t="s">
        <v>92</v>
      </c>
      <c r="D303" s="9" t="s">
        <v>70</v>
      </c>
      <c r="E303" s="15">
        <v>160.85</v>
      </c>
      <c r="F303" s="18" t="s">
        <v>76</v>
      </c>
      <c r="G303" s="9" t="s">
        <v>70</v>
      </c>
      <c r="H303" s="17" t="s">
        <v>207</v>
      </c>
      <c r="I303" s="14"/>
      <c r="N303" s="7"/>
      <c r="O303" s="7"/>
    </row>
    <row r="304">
      <c r="A304" s="9" t="s">
        <v>9</v>
      </c>
      <c r="B304" s="23">
        <v>45538.0</v>
      </c>
      <c r="C304" s="9" t="s">
        <v>189</v>
      </c>
      <c r="D304" s="9" t="s">
        <v>67</v>
      </c>
      <c r="E304" s="73">
        <v>110.37</v>
      </c>
      <c r="F304" s="18" t="s">
        <v>41</v>
      </c>
      <c r="G304" s="9" t="s">
        <v>67</v>
      </c>
      <c r="H304" s="14" t="s">
        <v>427</v>
      </c>
      <c r="I304" s="14"/>
      <c r="N304" s="7"/>
      <c r="O304" s="7"/>
    </row>
    <row r="305">
      <c r="A305" s="9" t="s">
        <v>9</v>
      </c>
      <c r="B305" s="23">
        <v>45538.0</v>
      </c>
      <c r="C305" s="9" t="s">
        <v>10</v>
      </c>
      <c r="D305" s="9" t="s">
        <v>67</v>
      </c>
      <c r="E305" s="73">
        <v>64.09</v>
      </c>
      <c r="F305" s="18" t="s">
        <v>41</v>
      </c>
      <c r="G305" s="9" t="s">
        <v>67</v>
      </c>
      <c r="H305" s="14" t="s">
        <v>428</v>
      </c>
      <c r="I305" s="14"/>
      <c r="N305" s="7"/>
      <c r="O305" s="7"/>
    </row>
    <row r="306">
      <c r="A306" s="9" t="s">
        <v>9</v>
      </c>
      <c r="B306" s="23">
        <v>45538.0</v>
      </c>
      <c r="C306" s="9" t="s">
        <v>92</v>
      </c>
      <c r="D306" s="9" t="s">
        <v>67</v>
      </c>
      <c r="E306" s="73">
        <v>320.33</v>
      </c>
      <c r="F306" s="18" t="s">
        <v>41</v>
      </c>
      <c r="G306" s="9" t="s">
        <v>67</v>
      </c>
      <c r="H306" s="14" t="s">
        <v>429</v>
      </c>
      <c r="I306" s="14"/>
      <c r="N306" s="7"/>
      <c r="O306" s="7"/>
    </row>
    <row r="307">
      <c r="A307" s="9" t="s">
        <v>9</v>
      </c>
      <c r="B307" s="23">
        <v>45541.0</v>
      </c>
      <c r="C307" s="9" t="s">
        <v>189</v>
      </c>
      <c r="D307" s="9" t="s">
        <v>69</v>
      </c>
      <c r="E307" s="73">
        <v>57.37</v>
      </c>
      <c r="F307" s="18" t="s">
        <v>89</v>
      </c>
      <c r="G307" s="9" t="s">
        <v>69</v>
      </c>
      <c r="H307" s="14" t="s">
        <v>430</v>
      </c>
      <c r="I307" s="14"/>
      <c r="N307" s="7"/>
      <c r="O307" s="7"/>
    </row>
    <row r="308">
      <c r="A308" s="9" t="s">
        <v>9</v>
      </c>
      <c r="B308" s="23">
        <v>45541.0</v>
      </c>
      <c r="C308" s="9" t="s">
        <v>10</v>
      </c>
      <c r="D308" s="9" t="s">
        <v>69</v>
      </c>
      <c r="E308" s="73">
        <v>131.45</v>
      </c>
      <c r="F308" s="18" t="s">
        <v>89</v>
      </c>
      <c r="G308" s="9" t="s">
        <v>69</v>
      </c>
      <c r="H308" s="14" t="s">
        <v>431</v>
      </c>
      <c r="I308" s="14"/>
      <c r="N308" s="7"/>
      <c r="O308" s="7"/>
    </row>
    <row r="309">
      <c r="A309" s="9" t="s">
        <v>9</v>
      </c>
      <c r="B309" s="23">
        <v>45541.0</v>
      </c>
      <c r="C309" s="9" t="s">
        <v>92</v>
      </c>
      <c r="D309" s="9" t="s">
        <v>69</v>
      </c>
      <c r="E309" s="73">
        <v>234.0</v>
      </c>
      <c r="F309" s="18" t="s">
        <v>89</v>
      </c>
      <c r="G309" s="9" t="s">
        <v>69</v>
      </c>
      <c r="H309" s="14" t="s">
        <v>432</v>
      </c>
      <c r="I309" s="14"/>
      <c r="N309" s="7"/>
      <c r="O309" s="7"/>
    </row>
    <row r="310">
      <c r="A310" s="9" t="s">
        <v>9</v>
      </c>
      <c r="B310" s="23">
        <v>45544.0</v>
      </c>
      <c r="C310" s="9" t="s">
        <v>189</v>
      </c>
      <c r="D310" s="9" t="s">
        <v>70</v>
      </c>
      <c r="E310" s="73">
        <v>112.34</v>
      </c>
      <c r="F310" s="18" t="s">
        <v>58</v>
      </c>
      <c r="G310" s="9" t="s">
        <v>70</v>
      </c>
      <c r="H310" s="17" t="s">
        <v>382</v>
      </c>
      <c r="I310" s="14"/>
      <c r="N310" s="7"/>
      <c r="O310" s="7"/>
    </row>
    <row r="311">
      <c r="A311" s="9" t="s">
        <v>9</v>
      </c>
      <c r="B311" s="23">
        <v>45544.0</v>
      </c>
      <c r="C311" s="9" t="s">
        <v>10</v>
      </c>
      <c r="D311" s="9" t="s">
        <v>70</v>
      </c>
      <c r="E311" s="73">
        <v>219.86</v>
      </c>
      <c r="F311" s="18" t="s">
        <v>58</v>
      </c>
      <c r="G311" s="9" t="s">
        <v>70</v>
      </c>
      <c r="H311" s="17" t="s">
        <v>225</v>
      </c>
      <c r="I311" s="14"/>
      <c r="N311" s="7"/>
      <c r="O311" s="7"/>
    </row>
    <row r="312">
      <c r="A312" s="9" t="s">
        <v>9</v>
      </c>
      <c r="B312" s="23">
        <v>45544.0</v>
      </c>
      <c r="C312" s="9" t="s">
        <v>92</v>
      </c>
      <c r="D312" s="9" t="s">
        <v>70</v>
      </c>
      <c r="E312" s="73">
        <v>283.03</v>
      </c>
      <c r="F312" s="18" t="s">
        <v>58</v>
      </c>
      <c r="G312" s="9" t="s">
        <v>70</v>
      </c>
      <c r="H312" s="17" t="s">
        <v>392</v>
      </c>
      <c r="I312" s="14"/>
      <c r="N312" s="8"/>
      <c r="O312" s="7"/>
    </row>
    <row r="313">
      <c r="A313" s="9" t="s">
        <v>9</v>
      </c>
      <c r="B313" s="23">
        <v>45547.0</v>
      </c>
      <c r="C313" s="9" t="s">
        <v>10</v>
      </c>
      <c r="D313" s="9" t="s">
        <v>67</v>
      </c>
      <c r="E313" s="73">
        <v>219.86</v>
      </c>
      <c r="F313" s="18" t="s">
        <v>58</v>
      </c>
      <c r="G313" s="9" t="s">
        <v>67</v>
      </c>
      <c r="H313" s="17" t="s">
        <v>433</v>
      </c>
      <c r="I313" s="14"/>
      <c r="N313" s="7"/>
      <c r="O313" s="7"/>
    </row>
    <row r="314">
      <c r="A314" s="9" t="s">
        <v>9</v>
      </c>
      <c r="B314" s="23">
        <v>45547.0</v>
      </c>
      <c r="C314" s="9" t="s">
        <v>189</v>
      </c>
      <c r="D314" s="9" t="s">
        <v>67</v>
      </c>
      <c r="E314" s="73">
        <v>68.92</v>
      </c>
      <c r="F314" s="18" t="s">
        <v>58</v>
      </c>
      <c r="G314" s="9" t="s">
        <v>67</v>
      </c>
      <c r="H314" s="17" t="s">
        <v>372</v>
      </c>
      <c r="I314" s="14"/>
      <c r="N314" s="8"/>
      <c r="O314" s="7"/>
    </row>
    <row r="315">
      <c r="A315" s="9" t="s">
        <v>9</v>
      </c>
      <c r="B315" s="23">
        <v>45547.0</v>
      </c>
      <c r="C315" s="9" t="s">
        <v>92</v>
      </c>
      <c r="D315" s="9" t="s">
        <v>67</v>
      </c>
      <c r="E315" s="73">
        <v>191.16</v>
      </c>
      <c r="F315" s="18" t="s">
        <v>58</v>
      </c>
      <c r="G315" s="9" t="s">
        <v>67</v>
      </c>
      <c r="H315" s="17" t="s">
        <v>365</v>
      </c>
      <c r="I315" s="14"/>
      <c r="N315" s="8"/>
      <c r="O315" s="7"/>
    </row>
    <row r="316">
      <c r="A316" s="9" t="s">
        <v>9</v>
      </c>
      <c r="B316" s="23">
        <v>45551.0</v>
      </c>
      <c r="C316" s="9" t="s">
        <v>92</v>
      </c>
      <c r="D316" s="9" t="s">
        <v>69</v>
      </c>
      <c r="E316" s="73">
        <v>259.0</v>
      </c>
      <c r="F316" s="18" t="s">
        <v>58</v>
      </c>
      <c r="G316" s="9" t="s">
        <v>69</v>
      </c>
      <c r="H316" s="17" t="s">
        <v>248</v>
      </c>
      <c r="I316" s="14"/>
      <c r="N316" s="7"/>
      <c r="O316" s="7"/>
    </row>
    <row r="317">
      <c r="A317" s="9" t="s">
        <v>9</v>
      </c>
      <c r="B317" s="23">
        <v>45555.0</v>
      </c>
      <c r="C317" s="9" t="s">
        <v>189</v>
      </c>
      <c r="D317" s="9" t="s">
        <v>70</v>
      </c>
      <c r="E317" s="73">
        <v>41.0</v>
      </c>
      <c r="F317" s="18" t="s">
        <v>58</v>
      </c>
      <c r="G317" s="9" t="s">
        <v>70</v>
      </c>
      <c r="H317" s="17" t="s">
        <v>358</v>
      </c>
      <c r="I317" s="14"/>
      <c r="N317" s="7"/>
      <c r="O317" s="7"/>
    </row>
    <row r="318">
      <c r="A318" s="9" t="s">
        <v>9</v>
      </c>
      <c r="B318" s="23">
        <v>45555.0</v>
      </c>
      <c r="C318" s="9" t="s">
        <v>10</v>
      </c>
      <c r="D318" s="9" t="s">
        <v>70</v>
      </c>
      <c r="E318" s="73">
        <v>317.94</v>
      </c>
      <c r="F318" s="18" t="s">
        <v>58</v>
      </c>
      <c r="G318" s="9" t="s">
        <v>70</v>
      </c>
      <c r="H318" s="17" t="s">
        <v>225</v>
      </c>
      <c r="I318" s="14"/>
      <c r="N318" s="7"/>
      <c r="O318" s="7"/>
    </row>
    <row r="319">
      <c r="A319" s="9" t="s">
        <v>9</v>
      </c>
      <c r="B319" s="23">
        <v>45555.0</v>
      </c>
      <c r="C319" s="9" t="s">
        <v>92</v>
      </c>
      <c r="D319" s="9" t="s">
        <v>70</v>
      </c>
      <c r="E319" s="73">
        <v>142.84</v>
      </c>
      <c r="F319" s="18" t="s">
        <v>58</v>
      </c>
      <c r="G319" s="9" t="s">
        <v>70</v>
      </c>
      <c r="H319" s="17" t="s">
        <v>386</v>
      </c>
      <c r="I319" s="14"/>
      <c r="N319" s="7"/>
      <c r="O319" s="7"/>
    </row>
    <row r="320">
      <c r="A320" s="9" t="s">
        <v>9</v>
      </c>
      <c r="B320" s="23">
        <v>45558.0</v>
      </c>
      <c r="C320" s="9" t="s">
        <v>189</v>
      </c>
      <c r="D320" s="9" t="s">
        <v>67</v>
      </c>
      <c r="E320" s="73">
        <v>89.78</v>
      </c>
      <c r="F320" s="18" t="s">
        <v>58</v>
      </c>
      <c r="G320" s="9" t="s">
        <v>67</v>
      </c>
      <c r="H320" s="17" t="s">
        <v>372</v>
      </c>
      <c r="I320" s="14"/>
      <c r="N320" s="7"/>
      <c r="O320" s="7"/>
    </row>
    <row r="321">
      <c r="A321" s="9" t="s">
        <v>9</v>
      </c>
      <c r="B321" s="23">
        <v>45558.0</v>
      </c>
      <c r="C321" s="9" t="s">
        <v>10</v>
      </c>
      <c r="D321" s="9" t="s">
        <v>67</v>
      </c>
      <c r="E321" s="73">
        <v>342.44</v>
      </c>
      <c r="F321" s="18" t="s">
        <v>58</v>
      </c>
      <c r="G321" s="9" t="s">
        <v>67</v>
      </c>
      <c r="H321" s="17" t="s">
        <v>210</v>
      </c>
      <c r="I321" s="14"/>
      <c r="N321" s="7"/>
      <c r="O321" s="7"/>
    </row>
    <row r="322">
      <c r="A322" s="9" t="s">
        <v>9</v>
      </c>
      <c r="B322" s="23">
        <v>45558.0</v>
      </c>
      <c r="C322" s="9" t="s">
        <v>92</v>
      </c>
      <c r="D322" s="9" t="s">
        <v>67</v>
      </c>
      <c r="E322" s="73">
        <v>212.66</v>
      </c>
      <c r="F322" s="18" t="s">
        <v>58</v>
      </c>
      <c r="G322" s="9" t="s">
        <v>67</v>
      </c>
      <c r="H322" s="17" t="s">
        <v>365</v>
      </c>
      <c r="I322" s="14"/>
      <c r="N322" s="7"/>
      <c r="O322" s="7"/>
    </row>
    <row r="323">
      <c r="A323" s="9" t="s">
        <v>9</v>
      </c>
      <c r="B323" s="23">
        <v>45562.0</v>
      </c>
      <c r="C323" s="9" t="s">
        <v>189</v>
      </c>
      <c r="D323" s="9" t="s">
        <v>69</v>
      </c>
      <c r="E323" s="73">
        <v>52.35</v>
      </c>
      <c r="F323" s="18" t="s">
        <v>58</v>
      </c>
      <c r="G323" s="9" t="s">
        <v>69</v>
      </c>
      <c r="H323" s="17" t="s">
        <v>358</v>
      </c>
      <c r="I323" s="14"/>
      <c r="N323" s="7"/>
      <c r="O323" s="7"/>
    </row>
    <row r="324">
      <c r="A324" s="9" t="s">
        <v>9</v>
      </c>
      <c r="B324" s="23">
        <v>45562.0</v>
      </c>
      <c r="C324" s="9" t="s">
        <v>10</v>
      </c>
      <c r="D324" s="9" t="s">
        <v>69</v>
      </c>
      <c r="E324" s="73">
        <v>61.36</v>
      </c>
      <c r="F324" s="18" t="s">
        <v>58</v>
      </c>
      <c r="G324" s="9" t="s">
        <v>69</v>
      </c>
      <c r="H324" s="17" t="s">
        <v>210</v>
      </c>
      <c r="I324" s="14"/>
      <c r="N324" s="7"/>
      <c r="O324" s="7"/>
    </row>
    <row r="325">
      <c r="A325" s="9" t="s">
        <v>9</v>
      </c>
      <c r="B325" s="23">
        <v>45562.0</v>
      </c>
      <c r="C325" s="9" t="s">
        <v>92</v>
      </c>
      <c r="D325" s="9" t="s">
        <v>69</v>
      </c>
      <c r="E325" s="73">
        <v>171.09</v>
      </c>
      <c r="F325" s="18" t="s">
        <v>58</v>
      </c>
      <c r="G325" s="9" t="s">
        <v>69</v>
      </c>
      <c r="H325" s="17" t="s">
        <v>434</v>
      </c>
      <c r="I325" s="14"/>
      <c r="N325" s="7"/>
      <c r="O325" s="7"/>
    </row>
    <row r="326">
      <c r="A326" s="9" t="s">
        <v>9</v>
      </c>
      <c r="B326" s="23">
        <v>45565.0</v>
      </c>
      <c r="C326" s="9" t="s">
        <v>189</v>
      </c>
      <c r="D326" s="9" t="s">
        <v>70</v>
      </c>
      <c r="E326" s="73">
        <v>118.35</v>
      </c>
      <c r="F326" s="18" t="s">
        <v>58</v>
      </c>
      <c r="G326" s="9" t="s">
        <v>70</v>
      </c>
      <c r="H326" s="17" t="s">
        <v>418</v>
      </c>
      <c r="I326" s="14"/>
      <c r="N326" s="7"/>
      <c r="O326" s="7"/>
    </row>
    <row r="327">
      <c r="A327" s="9" t="s">
        <v>9</v>
      </c>
      <c r="B327" s="23">
        <v>45565.0</v>
      </c>
      <c r="C327" s="9" t="s">
        <v>10</v>
      </c>
      <c r="D327" s="9" t="s">
        <v>70</v>
      </c>
      <c r="E327" s="73">
        <v>41.23</v>
      </c>
      <c r="F327" s="18" t="s">
        <v>58</v>
      </c>
      <c r="G327" s="9" t="s">
        <v>70</v>
      </c>
      <c r="H327" s="17" t="s">
        <v>378</v>
      </c>
      <c r="I327" s="14"/>
      <c r="N327" s="7"/>
      <c r="O327" s="7"/>
    </row>
    <row r="328">
      <c r="A328" s="9" t="s">
        <v>9</v>
      </c>
      <c r="B328" s="23">
        <v>45565.0</v>
      </c>
      <c r="C328" s="9" t="s">
        <v>92</v>
      </c>
      <c r="D328" s="9" t="s">
        <v>70</v>
      </c>
      <c r="E328" s="73">
        <v>394.02</v>
      </c>
      <c r="F328" s="18" t="s">
        <v>58</v>
      </c>
      <c r="G328" s="9" t="s">
        <v>70</v>
      </c>
      <c r="H328" s="17" t="s">
        <v>294</v>
      </c>
      <c r="I328" s="14"/>
      <c r="N328" s="7"/>
      <c r="O328" s="7"/>
    </row>
    <row r="329">
      <c r="A329" s="9" t="s">
        <v>9</v>
      </c>
      <c r="B329" s="23">
        <v>45565.0</v>
      </c>
      <c r="C329" s="9" t="s">
        <v>92</v>
      </c>
      <c r="D329" s="9" t="s">
        <v>70</v>
      </c>
      <c r="E329" s="73">
        <v>58.76</v>
      </c>
      <c r="F329" s="18" t="s">
        <v>58</v>
      </c>
      <c r="G329" s="9" t="s">
        <v>70</v>
      </c>
      <c r="H329" s="17" t="s">
        <v>378</v>
      </c>
      <c r="I329" s="14"/>
      <c r="N329" s="7"/>
      <c r="O329" s="7"/>
    </row>
    <row r="330">
      <c r="A330" s="9" t="s">
        <v>9</v>
      </c>
      <c r="B330" s="23">
        <v>45567.0</v>
      </c>
      <c r="C330" s="9" t="s">
        <v>92</v>
      </c>
      <c r="D330" s="9" t="s">
        <v>67</v>
      </c>
      <c r="E330" s="15">
        <v>239.74</v>
      </c>
      <c r="F330" s="18" t="s">
        <v>58</v>
      </c>
      <c r="G330" s="9" t="s">
        <v>67</v>
      </c>
      <c r="H330" s="17" t="s">
        <v>435</v>
      </c>
      <c r="I330" s="14"/>
      <c r="N330" s="7"/>
      <c r="O330" s="7"/>
    </row>
    <row r="331">
      <c r="A331" s="9" t="s">
        <v>9</v>
      </c>
      <c r="B331" s="23">
        <v>45567.0</v>
      </c>
      <c r="C331" s="9" t="s">
        <v>189</v>
      </c>
      <c r="D331" s="9" t="s">
        <v>67</v>
      </c>
      <c r="E331" s="15">
        <v>18.04</v>
      </c>
      <c r="F331" s="18" t="s">
        <v>58</v>
      </c>
      <c r="G331" s="9" t="s">
        <v>67</v>
      </c>
      <c r="H331" s="17" t="s">
        <v>436</v>
      </c>
      <c r="I331" s="14"/>
      <c r="N331" s="7"/>
      <c r="O331" s="7"/>
    </row>
    <row r="332">
      <c r="A332" s="9" t="s">
        <v>9</v>
      </c>
      <c r="B332" s="23">
        <v>45567.0</v>
      </c>
      <c r="C332" s="9" t="s">
        <v>10</v>
      </c>
      <c r="D332" s="9" t="s">
        <v>67</v>
      </c>
      <c r="E332" s="15">
        <v>49.78</v>
      </c>
      <c r="F332" s="18" t="s">
        <v>58</v>
      </c>
      <c r="G332" s="9" t="s">
        <v>67</v>
      </c>
      <c r="H332" s="17" t="s">
        <v>225</v>
      </c>
      <c r="I332" s="14"/>
      <c r="N332" s="7"/>
      <c r="O332" s="7"/>
    </row>
    <row r="333">
      <c r="A333" s="9" t="s">
        <v>50</v>
      </c>
      <c r="B333" s="23">
        <v>45569.0</v>
      </c>
      <c r="C333" s="9" t="s">
        <v>10</v>
      </c>
      <c r="D333" s="9" t="s">
        <v>69</v>
      </c>
      <c r="E333" s="15">
        <v>112.35</v>
      </c>
      <c r="F333" s="18" t="s">
        <v>58</v>
      </c>
      <c r="G333" s="9" t="s">
        <v>69</v>
      </c>
      <c r="H333" s="17" t="s">
        <v>210</v>
      </c>
      <c r="I333" s="14"/>
      <c r="N333" s="7"/>
      <c r="O333" s="7"/>
    </row>
    <row r="334">
      <c r="A334" s="9" t="s">
        <v>50</v>
      </c>
      <c r="B334" s="23">
        <v>45569.0</v>
      </c>
      <c r="C334" s="9" t="s">
        <v>92</v>
      </c>
      <c r="D334" s="9" t="s">
        <v>69</v>
      </c>
      <c r="E334" s="15">
        <v>203.5</v>
      </c>
      <c r="F334" s="18" t="s">
        <v>58</v>
      </c>
      <c r="G334" s="9" t="s">
        <v>69</v>
      </c>
      <c r="H334" s="17" t="s">
        <v>365</v>
      </c>
      <c r="I334" s="14"/>
      <c r="N334" s="7"/>
      <c r="O334" s="7"/>
    </row>
    <row r="335">
      <c r="A335" s="9" t="s">
        <v>50</v>
      </c>
      <c r="B335" s="23">
        <v>45569.0</v>
      </c>
      <c r="C335" s="9" t="s">
        <v>189</v>
      </c>
      <c r="D335" s="9" t="s">
        <v>69</v>
      </c>
      <c r="E335" s="15">
        <v>103.55</v>
      </c>
      <c r="F335" s="18" t="s">
        <v>58</v>
      </c>
      <c r="G335" s="9" t="s">
        <v>69</v>
      </c>
      <c r="H335" s="17" t="s">
        <v>405</v>
      </c>
      <c r="I335" s="14"/>
      <c r="N335" s="7"/>
      <c r="O335" s="7"/>
    </row>
    <row r="336">
      <c r="A336" s="9" t="s">
        <v>47</v>
      </c>
      <c r="B336" s="23">
        <v>45572.0</v>
      </c>
      <c r="C336" s="9" t="s">
        <v>189</v>
      </c>
      <c r="D336" s="9" t="s">
        <v>70</v>
      </c>
      <c r="E336" s="15">
        <v>77.9</v>
      </c>
      <c r="F336" s="18" t="s">
        <v>58</v>
      </c>
      <c r="G336" s="9" t="s">
        <v>70</v>
      </c>
      <c r="H336" s="17" t="s">
        <v>382</v>
      </c>
      <c r="I336" s="14"/>
      <c r="N336" s="7"/>
      <c r="O336" s="7"/>
    </row>
    <row r="337">
      <c r="A337" s="9" t="s">
        <v>47</v>
      </c>
      <c r="B337" s="23">
        <v>45572.0</v>
      </c>
      <c r="C337" s="9" t="s">
        <v>10</v>
      </c>
      <c r="D337" s="9" t="s">
        <v>70</v>
      </c>
      <c r="E337" s="15">
        <v>44.65</v>
      </c>
      <c r="F337" s="18" t="s">
        <v>58</v>
      </c>
      <c r="G337" s="9" t="s">
        <v>70</v>
      </c>
      <c r="H337" s="17" t="s">
        <v>225</v>
      </c>
      <c r="I337" s="14"/>
      <c r="N337" s="7"/>
      <c r="O337" s="7"/>
    </row>
    <row r="338">
      <c r="A338" s="9" t="s">
        <v>47</v>
      </c>
      <c r="B338" s="23">
        <v>45572.0</v>
      </c>
      <c r="C338" s="9" t="s">
        <v>92</v>
      </c>
      <c r="D338" s="9" t="s">
        <v>70</v>
      </c>
      <c r="E338" s="15">
        <v>207.5</v>
      </c>
      <c r="F338" s="18" t="s">
        <v>58</v>
      </c>
      <c r="G338" s="9" t="s">
        <v>70</v>
      </c>
      <c r="H338" s="17" t="s">
        <v>437</v>
      </c>
      <c r="I338" s="14"/>
      <c r="N338" s="7"/>
      <c r="O338" s="7"/>
    </row>
    <row r="339">
      <c r="A339" s="9" t="s">
        <v>47</v>
      </c>
      <c r="B339" s="23">
        <v>45575.0</v>
      </c>
      <c r="C339" s="9" t="s">
        <v>10</v>
      </c>
      <c r="D339" s="9" t="s">
        <v>67</v>
      </c>
      <c r="E339" s="15">
        <v>435.62</v>
      </c>
      <c r="F339" s="18" t="s">
        <v>58</v>
      </c>
      <c r="G339" s="9" t="s">
        <v>67</v>
      </c>
      <c r="H339" s="17" t="s">
        <v>438</v>
      </c>
      <c r="I339" s="14"/>
      <c r="N339" s="7"/>
      <c r="O339" s="7"/>
    </row>
    <row r="340">
      <c r="A340" s="9" t="s">
        <v>47</v>
      </c>
      <c r="B340" s="23">
        <v>45575.0</v>
      </c>
      <c r="C340" s="9" t="s">
        <v>92</v>
      </c>
      <c r="D340" s="9" t="s">
        <v>67</v>
      </c>
      <c r="E340" s="15">
        <v>199.94</v>
      </c>
      <c r="F340" s="18" t="s">
        <v>58</v>
      </c>
      <c r="G340" s="9" t="s">
        <v>67</v>
      </c>
      <c r="H340" s="17" t="s">
        <v>439</v>
      </c>
      <c r="I340" s="14"/>
      <c r="N340" s="7"/>
      <c r="O340" s="7"/>
    </row>
    <row r="341">
      <c r="A341" s="9" t="s">
        <v>47</v>
      </c>
      <c r="B341" s="23">
        <v>45576.0</v>
      </c>
      <c r="C341" s="9" t="s">
        <v>92</v>
      </c>
      <c r="D341" s="9" t="s">
        <v>69</v>
      </c>
      <c r="E341" s="15">
        <v>123.07</v>
      </c>
      <c r="F341" s="18" t="s">
        <v>58</v>
      </c>
      <c r="G341" s="9" t="s">
        <v>69</v>
      </c>
      <c r="H341" s="17" t="s">
        <v>313</v>
      </c>
      <c r="I341" s="14"/>
      <c r="N341" s="7"/>
      <c r="O341" s="7"/>
    </row>
    <row r="342">
      <c r="A342" s="9" t="s">
        <v>47</v>
      </c>
      <c r="B342" s="23">
        <v>45576.0</v>
      </c>
      <c r="C342" s="9" t="s">
        <v>189</v>
      </c>
      <c r="D342" s="9" t="s">
        <v>69</v>
      </c>
      <c r="E342" s="15">
        <v>42.2</v>
      </c>
      <c r="F342" s="18" t="s">
        <v>58</v>
      </c>
      <c r="G342" s="9" t="s">
        <v>69</v>
      </c>
      <c r="H342" s="17" t="s">
        <v>358</v>
      </c>
      <c r="I342" s="14"/>
      <c r="N342" s="7"/>
      <c r="O342" s="7"/>
    </row>
    <row r="343">
      <c r="A343" s="9" t="s">
        <v>9</v>
      </c>
      <c r="B343" s="23">
        <v>45579.0</v>
      </c>
      <c r="C343" s="9" t="s">
        <v>10</v>
      </c>
      <c r="D343" s="9" t="s">
        <v>70</v>
      </c>
      <c r="E343" s="15">
        <v>115.67</v>
      </c>
      <c r="F343" s="18" t="s">
        <v>58</v>
      </c>
      <c r="G343" s="9" t="s">
        <v>70</v>
      </c>
      <c r="H343" s="17" t="s">
        <v>403</v>
      </c>
      <c r="I343" s="14"/>
      <c r="N343" s="7"/>
      <c r="O343" s="7"/>
    </row>
    <row r="344">
      <c r="A344" s="9" t="s">
        <v>9</v>
      </c>
      <c r="B344" s="23">
        <v>45579.0</v>
      </c>
      <c r="C344" s="9" t="s">
        <v>189</v>
      </c>
      <c r="D344" s="9" t="s">
        <v>70</v>
      </c>
      <c r="E344" s="15">
        <v>61.35</v>
      </c>
      <c r="F344" s="18" t="s">
        <v>58</v>
      </c>
      <c r="G344" s="9" t="s">
        <v>70</v>
      </c>
      <c r="H344" s="17" t="s">
        <v>372</v>
      </c>
      <c r="I344" s="14"/>
      <c r="N344" s="7"/>
      <c r="O344" s="7"/>
    </row>
    <row r="345">
      <c r="A345" s="9" t="s">
        <v>9</v>
      </c>
      <c r="B345" s="23">
        <v>45579.0</v>
      </c>
      <c r="C345" s="9" t="s">
        <v>92</v>
      </c>
      <c r="D345" s="9" t="s">
        <v>70</v>
      </c>
      <c r="E345" s="15">
        <v>365.19</v>
      </c>
      <c r="F345" s="18" t="s">
        <v>58</v>
      </c>
      <c r="G345" s="9" t="s">
        <v>70</v>
      </c>
      <c r="H345" s="17" t="s">
        <v>394</v>
      </c>
      <c r="I345" s="14"/>
      <c r="N345" s="7"/>
      <c r="O345" s="7"/>
    </row>
    <row r="346">
      <c r="A346" s="9" t="s">
        <v>9</v>
      </c>
      <c r="B346" s="23">
        <v>45581.0</v>
      </c>
      <c r="C346" s="9" t="s">
        <v>92</v>
      </c>
      <c r="D346" s="9" t="s">
        <v>67</v>
      </c>
      <c r="E346" s="15">
        <v>139.72</v>
      </c>
      <c r="F346" s="18" t="s">
        <v>58</v>
      </c>
      <c r="G346" s="9" t="s">
        <v>67</v>
      </c>
      <c r="H346" s="17" t="s">
        <v>392</v>
      </c>
      <c r="I346" s="14"/>
      <c r="N346" s="7"/>
      <c r="O346" s="7"/>
    </row>
    <row r="347">
      <c r="A347" s="9" t="s">
        <v>9</v>
      </c>
      <c r="B347" s="23">
        <v>45581.0</v>
      </c>
      <c r="C347" s="9" t="s">
        <v>189</v>
      </c>
      <c r="D347" s="9" t="s">
        <v>67</v>
      </c>
      <c r="E347" s="15">
        <v>62.35</v>
      </c>
      <c r="F347" s="18" t="s">
        <v>58</v>
      </c>
      <c r="G347" s="9" t="s">
        <v>67</v>
      </c>
      <c r="H347" s="17" t="s">
        <v>372</v>
      </c>
      <c r="I347" s="14"/>
      <c r="N347" s="7"/>
      <c r="O347" s="7"/>
    </row>
    <row r="348">
      <c r="A348" s="9" t="s">
        <v>9</v>
      </c>
      <c r="B348" s="23">
        <v>45581.0</v>
      </c>
      <c r="C348" s="9" t="s">
        <v>10</v>
      </c>
      <c r="D348" s="9" t="s">
        <v>67</v>
      </c>
      <c r="E348" s="15">
        <v>37.8</v>
      </c>
      <c r="F348" s="18" t="s">
        <v>58</v>
      </c>
      <c r="G348" s="9" t="s">
        <v>67</v>
      </c>
      <c r="H348" s="17" t="s">
        <v>225</v>
      </c>
      <c r="I348" s="14"/>
      <c r="N348" s="7"/>
      <c r="O348" s="7"/>
    </row>
    <row r="349">
      <c r="A349" s="9" t="s">
        <v>9</v>
      </c>
      <c r="B349" s="23">
        <v>45583.0</v>
      </c>
      <c r="C349" s="9" t="s">
        <v>10</v>
      </c>
      <c r="D349" s="9" t="s">
        <v>69</v>
      </c>
      <c r="E349" s="15">
        <v>230.56</v>
      </c>
      <c r="F349" s="18" t="s">
        <v>58</v>
      </c>
      <c r="G349" s="9" t="s">
        <v>69</v>
      </c>
      <c r="H349" s="17" t="s">
        <v>440</v>
      </c>
      <c r="I349" s="14"/>
      <c r="N349" s="7"/>
      <c r="O349" s="7"/>
    </row>
    <row r="350">
      <c r="A350" s="9" t="s">
        <v>9</v>
      </c>
      <c r="B350" s="23">
        <v>45583.0</v>
      </c>
      <c r="C350" s="9" t="s">
        <v>92</v>
      </c>
      <c r="D350" s="9" t="s">
        <v>69</v>
      </c>
      <c r="E350" s="15">
        <v>391.78</v>
      </c>
      <c r="F350" s="18" t="s">
        <v>58</v>
      </c>
      <c r="G350" s="9" t="s">
        <v>69</v>
      </c>
      <c r="H350" s="17" t="s">
        <v>441</v>
      </c>
      <c r="I350" s="14"/>
      <c r="N350" s="7"/>
      <c r="O350" s="7"/>
    </row>
    <row r="351">
      <c r="A351" s="9" t="s">
        <v>9</v>
      </c>
      <c r="B351" s="23">
        <v>45586.0</v>
      </c>
      <c r="C351" s="9" t="s">
        <v>92</v>
      </c>
      <c r="D351" s="9" t="s">
        <v>70</v>
      </c>
      <c r="E351" s="15">
        <v>190.25</v>
      </c>
      <c r="F351" s="18" t="s">
        <v>58</v>
      </c>
      <c r="G351" s="9" t="s">
        <v>70</v>
      </c>
      <c r="H351" s="17" t="s">
        <v>365</v>
      </c>
      <c r="I351" s="14"/>
      <c r="N351" s="7"/>
      <c r="O351" s="7"/>
    </row>
    <row r="352">
      <c r="A352" s="9" t="s">
        <v>9</v>
      </c>
      <c r="B352" s="23">
        <v>45586.0</v>
      </c>
      <c r="C352" s="9" t="s">
        <v>189</v>
      </c>
      <c r="D352" s="9" t="s">
        <v>70</v>
      </c>
      <c r="E352" s="15">
        <v>58.05</v>
      </c>
      <c r="F352" s="18" t="s">
        <v>58</v>
      </c>
      <c r="G352" s="9" t="s">
        <v>70</v>
      </c>
      <c r="H352" s="17" t="s">
        <v>372</v>
      </c>
      <c r="I352" s="14"/>
      <c r="N352" s="7"/>
      <c r="O352" s="7"/>
    </row>
    <row r="353">
      <c r="A353" s="9" t="s">
        <v>9</v>
      </c>
      <c r="B353" s="23">
        <v>45588.0</v>
      </c>
      <c r="C353" s="9" t="s">
        <v>92</v>
      </c>
      <c r="D353" s="9" t="s">
        <v>67</v>
      </c>
      <c r="E353" s="15">
        <v>157.35</v>
      </c>
      <c r="F353" s="18" t="s">
        <v>58</v>
      </c>
      <c r="G353" s="9" t="s">
        <v>67</v>
      </c>
      <c r="H353" s="17" t="s">
        <v>207</v>
      </c>
      <c r="I353" s="14"/>
      <c r="N353" s="7"/>
      <c r="O353" s="7"/>
    </row>
    <row r="354">
      <c r="A354" s="9" t="s">
        <v>9</v>
      </c>
      <c r="B354" s="23">
        <v>45588.0</v>
      </c>
      <c r="C354" s="9" t="s">
        <v>10</v>
      </c>
      <c r="D354" s="9" t="s">
        <v>67</v>
      </c>
      <c r="E354" s="15">
        <v>290.97</v>
      </c>
      <c r="F354" s="18" t="s">
        <v>58</v>
      </c>
      <c r="G354" s="9" t="s">
        <v>67</v>
      </c>
      <c r="H354" s="17" t="s">
        <v>442</v>
      </c>
      <c r="I354" s="14"/>
      <c r="N354" s="7"/>
      <c r="O354" s="7"/>
    </row>
    <row r="355">
      <c r="A355" s="9" t="s">
        <v>9</v>
      </c>
      <c r="B355" s="23">
        <v>45588.0</v>
      </c>
      <c r="C355" s="9" t="s">
        <v>189</v>
      </c>
      <c r="D355" s="9" t="s">
        <v>67</v>
      </c>
      <c r="E355" s="15">
        <v>57.35</v>
      </c>
      <c r="F355" s="18" t="s">
        <v>58</v>
      </c>
      <c r="G355" s="9" t="s">
        <v>67</v>
      </c>
      <c r="H355" s="17" t="s">
        <v>372</v>
      </c>
      <c r="I355" s="14"/>
      <c r="N355" s="7"/>
      <c r="O355" s="7"/>
    </row>
    <row r="356">
      <c r="A356" s="9" t="s">
        <v>9</v>
      </c>
      <c r="B356" s="23">
        <v>45590.0</v>
      </c>
      <c r="C356" s="9" t="s">
        <v>189</v>
      </c>
      <c r="D356" s="9" t="s">
        <v>69</v>
      </c>
      <c r="E356" s="15">
        <v>52.39</v>
      </c>
      <c r="F356" s="18" t="s">
        <v>58</v>
      </c>
      <c r="G356" s="9" t="s">
        <v>69</v>
      </c>
      <c r="H356" s="17" t="s">
        <v>358</v>
      </c>
      <c r="I356" s="14"/>
      <c r="N356" s="7"/>
      <c r="O356" s="7"/>
    </row>
    <row r="357">
      <c r="A357" s="9" t="s">
        <v>9</v>
      </c>
      <c r="B357" s="23">
        <v>45590.0</v>
      </c>
      <c r="C357" s="9" t="s">
        <v>92</v>
      </c>
      <c r="D357" s="9" t="s">
        <v>69</v>
      </c>
      <c r="E357" s="15">
        <v>153.28</v>
      </c>
      <c r="F357" s="18" t="s">
        <v>58</v>
      </c>
      <c r="G357" s="9" t="s">
        <v>69</v>
      </c>
      <c r="H357" s="17" t="s">
        <v>207</v>
      </c>
      <c r="I357" s="14"/>
      <c r="N357" s="7"/>
      <c r="O357" s="7"/>
    </row>
    <row r="358">
      <c r="A358" s="9" t="s">
        <v>9</v>
      </c>
      <c r="B358" s="23">
        <v>45594.0</v>
      </c>
      <c r="C358" s="9" t="s">
        <v>10</v>
      </c>
      <c r="D358" s="9" t="s">
        <v>70</v>
      </c>
      <c r="E358" s="15">
        <v>138.9</v>
      </c>
      <c r="F358" s="18" t="s">
        <v>97</v>
      </c>
      <c r="G358" s="9" t="s">
        <v>70</v>
      </c>
      <c r="H358" s="17" t="s">
        <v>417</v>
      </c>
      <c r="I358" s="14"/>
      <c r="N358" s="7"/>
      <c r="O358" s="7"/>
    </row>
    <row r="359">
      <c r="A359" s="9" t="s">
        <v>9</v>
      </c>
      <c r="B359" s="23">
        <v>45594.0</v>
      </c>
      <c r="C359" s="9" t="s">
        <v>189</v>
      </c>
      <c r="D359" s="9" t="s">
        <v>70</v>
      </c>
      <c r="E359" s="15">
        <v>62.45</v>
      </c>
      <c r="F359" s="18" t="s">
        <v>97</v>
      </c>
      <c r="G359" s="9" t="s">
        <v>70</v>
      </c>
      <c r="H359" s="17" t="s">
        <v>358</v>
      </c>
      <c r="I359" s="14"/>
      <c r="N359" s="7"/>
      <c r="O359" s="7"/>
    </row>
    <row r="360">
      <c r="A360" s="9" t="s">
        <v>9</v>
      </c>
      <c r="B360" s="23">
        <v>45594.0</v>
      </c>
      <c r="C360" s="9" t="s">
        <v>92</v>
      </c>
      <c r="D360" s="9" t="s">
        <v>70</v>
      </c>
      <c r="E360" s="15">
        <v>225.43</v>
      </c>
      <c r="F360" s="18" t="s">
        <v>97</v>
      </c>
      <c r="G360" s="9" t="s">
        <v>70</v>
      </c>
      <c r="H360" s="17" t="s">
        <v>443</v>
      </c>
      <c r="I360" s="14"/>
      <c r="N360" s="7"/>
      <c r="O360" s="7"/>
    </row>
    <row r="361">
      <c r="A361" s="9" t="s">
        <v>9</v>
      </c>
      <c r="B361" s="23">
        <v>45595.0</v>
      </c>
      <c r="C361" s="9" t="s">
        <v>189</v>
      </c>
      <c r="D361" s="9" t="s">
        <v>70</v>
      </c>
      <c r="E361" s="15">
        <v>36.78</v>
      </c>
      <c r="F361" s="18" t="s">
        <v>97</v>
      </c>
      <c r="G361" s="9" t="s">
        <v>70</v>
      </c>
      <c r="H361" s="17" t="s">
        <v>358</v>
      </c>
      <c r="I361" s="14"/>
      <c r="N361" s="7"/>
      <c r="O361" s="7"/>
    </row>
    <row r="362">
      <c r="A362" s="9" t="s">
        <v>9</v>
      </c>
      <c r="B362" s="23">
        <v>45595.0</v>
      </c>
      <c r="C362" s="9" t="s">
        <v>92</v>
      </c>
      <c r="D362" s="9" t="s">
        <v>70</v>
      </c>
      <c r="E362" s="15">
        <v>130.03</v>
      </c>
      <c r="F362" s="18" t="s">
        <v>97</v>
      </c>
      <c r="G362" s="9" t="s">
        <v>70</v>
      </c>
      <c r="H362" s="17" t="s">
        <v>207</v>
      </c>
      <c r="I362" s="14"/>
      <c r="N362" s="7"/>
      <c r="O362" s="7"/>
    </row>
    <row r="363">
      <c r="A363" s="9" t="s">
        <v>9</v>
      </c>
      <c r="B363" s="23">
        <v>45597.0</v>
      </c>
      <c r="C363" s="9" t="s">
        <v>92</v>
      </c>
      <c r="D363" s="9" t="s">
        <v>67</v>
      </c>
      <c r="E363" s="15">
        <v>233.88</v>
      </c>
      <c r="F363" s="18" t="s">
        <v>97</v>
      </c>
      <c r="G363" s="9" t="s">
        <v>67</v>
      </c>
      <c r="H363" s="17" t="s">
        <v>397</v>
      </c>
      <c r="I363" s="14"/>
      <c r="N363" s="7"/>
      <c r="O363" s="7"/>
    </row>
    <row r="364">
      <c r="A364" s="9" t="s">
        <v>9</v>
      </c>
      <c r="B364" s="23">
        <v>45597.0</v>
      </c>
      <c r="C364" s="9" t="s">
        <v>189</v>
      </c>
      <c r="D364" s="9" t="s">
        <v>67</v>
      </c>
      <c r="E364" s="15">
        <v>48.0</v>
      </c>
      <c r="F364" s="18" t="s">
        <v>97</v>
      </c>
      <c r="G364" s="9" t="s">
        <v>67</v>
      </c>
      <c r="H364" s="17" t="s">
        <v>358</v>
      </c>
      <c r="I364" s="14"/>
      <c r="N364" s="7"/>
      <c r="O364" s="7"/>
    </row>
    <row r="365">
      <c r="A365" s="9" t="s">
        <v>9</v>
      </c>
      <c r="B365" s="23">
        <v>45597.0</v>
      </c>
      <c r="C365" s="9" t="s">
        <v>10</v>
      </c>
      <c r="D365" s="9" t="s">
        <v>67</v>
      </c>
      <c r="E365" s="15">
        <v>256.17</v>
      </c>
      <c r="F365" s="18" t="s">
        <v>97</v>
      </c>
      <c r="G365" s="9" t="s">
        <v>67</v>
      </c>
      <c r="H365" s="17" t="s">
        <v>440</v>
      </c>
      <c r="I365" s="14" t="s">
        <v>134</v>
      </c>
      <c r="N365" s="7"/>
      <c r="O365" s="7"/>
    </row>
    <row r="366">
      <c r="A366" s="9" t="s">
        <v>9</v>
      </c>
      <c r="B366" s="23">
        <v>45603.0</v>
      </c>
      <c r="C366" s="9" t="s">
        <v>92</v>
      </c>
      <c r="D366" s="9" t="s">
        <v>69</v>
      </c>
      <c r="E366" s="15">
        <v>349.49</v>
      </c>
      <c r="F366" s="18" t="s">
        <v>97</v>
      </c>
      <c r="G366" s="9" t="s">
        <v>69</v>
      </c>
      <c r="H366" s="17" t="s">
        <v>444</v>
      </c>
      <c r="I366" s="14" t="s">
        <v>445</v>
      </c>
      <c r="N366" s="7"/>
      <c r="O366" s="7"/>
    </row>
    <row r="367">
      <c r="A367" s="9" t="s">
        <v>9</v>
      </c>
      <c r="B367" s="23">
        <v>45603.0</v>
      </c>
      <c r="C367" s="9" t="s">
        <v>189</v>
      </c>
      <c r="D367" s="9" t="s">
        <v>70</v>
      </c>
      <c r="E367" s="15">
        <v>102.35</v>
      </c>
      <c r="F367" s="18" t="s">
        <v>97</v>
      </c>
      <c r="G367" s="9" t="s">
        <v>70</v>
      </c>
      <c r="H367" s="17" t="s">
        <v>382</v>
      </c>
      <c r="I367" s="14" t="s">
        <v>122</v>
      </c>
      <c r="N367" s="7"/>
      <c r="O367" s="7"/>
    </row>
    <row r="368">
      <c r="A368" s="9" t="s">
        <v>9</v>
      </c>
      <c r="B368" s="23">
        <v>45603.0</v>
      </c>
      <c r="C368" s="9" t="s">
        <v>10</v>
      </c>
      <c r="D368" s="9" t="s">
        <v>70</v>
      </c>
      <c r="E368" s="15">
        <v>228.76</v>
      </c>
      <c r="F368" s="18" t="s">
        <v>97</v>
      </c>
      <c r="G368" s="9" t="s">
        <v>70</v>
      </c>
      <c r="H368" s="17" t="s">
        <v>446</v>
      </c>
      <c r="I368" s="14" t="s">
        <v>134</v>
      </c>
      <c r="N368" s="7"/>
      <c r="O368" s="7"/>
    </row>
    <row r="369">
      <c r="A369" s="9" t="s">
        <v>9</v>
      </c>
      <c r="B369" s="23">
        <v>45607.0</v>
      </c>
      <c r="C369" s="9" t="s">
        <v>92</v>
      </c>
      <c r="D369" s="9" t="s">
        <v>447</v>
      </c>
      <c r="E369" s="15">
        <v>298.37</v>
      </c>
      <c r="F369" s="18">
        <v>0.0</v>
      </c>
      <c r="G369" s="9" t="s">
        <v>447</v>
      </c>
      <c r="H369" s="17" t="s">
        <v>448</v>
      </c>
      <c r="I369" s="14" t="s">
        <v>445</v>
      </c>
      <c r="N369" s="7"/>
      <c r="O369" s="7"/>
    </row>
    <row r="370">
      <c r="A370" s="9" t="s">
        <v>9</v>
      </c>
      <c r="B370" s="23">
        <v>45607.0</v>
      </c>
      <c r="C370" s="9" t="s">
        <v>189</v>
      </c>
      <c r="D370" s="9" t="s">
        <v>449</v>
      </c>
      <c r="E370" s="15">
        <v>298.37</v>
      </c>
      <c r="F370" s="18">
        <v>0.0</v>
      </c>
      <c r="G370" s="9" t="s">
        <v>450</v>
      </c>
      <c r="H370" s="17" t="s">
        <v>451</v>
      </c>
      <c r="I370" s="14" t="s">
        <v>452</v>
      </c>
      <c r="N370" s="7"/>
      <c r="O370" s="7"/>
    </row>
    <row r="371">
      <c r="A371" s="9" t="s">
        <v>9</v>
      </c>
      <c r="B371" s="23">
        <v>45609.0</v>
      </c>
      <c r="C371" s="9" t="s">
        <v>189</v>
      </c>
      <c r="D371" s="9" t="s">
        <v>453</v>
      </c>
      <c r="E371" s="15">
        <v>69.25</v>
      </c>
      <c r="F371" s="18">
        <v>0.0</v>
      </c>
      <c r="G371" s="9" t="s">
        <v>454</v>
      </c>
      <c r="H371" s="17" t="s">
        <v>455</v>
      </c>
      <c r="I371" s="14" t="s">
        <v>456</v>
      </c>
      <c r="N371" s="7"/>
      <c r="O371" s="7"/>
    </row>
    <row r="372">
      <c r="A372" s="9" t="s">
        <v>9</v>
      </c>
      <c r="B372" s="23">
        <v>45609.0</v>
      </c>
      <c r="C372" s="9" t="s">
        <v>10</v>
      </c>
      <c r="D372" s="9" t="s">
        <v>457</v>
      </c>
      <c r="E372" s="15">
        <v>69.35</v>
      </c>
      <c r="F372" s="18">
        <v>0.0</v>
      </c>
      <c r="G372" s="9" t="s">
        <v>458</v>
      </c>
      <c r="H372" s="17" t="s">
        <v>459</v>
      </c>
      <c r="I372" s="14" t="s">
        <v>460</v>
      </c>
      <c r="N372" s="7"/>
      <c r="O372" s="7"/>
    </row>
    <row r="373">
      <c r="A373" s="9" t="s">
        <v>9</v>
      </c>
      <c r="B373" s="23">
        <v>45609.0</v>
      </c>
      <c r="C373" s="9" t="s">
        <v>92</v>
      </c>
      <c r="D373" s="9" t="s">
        <v>461</v>
      </c>
      <c r="E373" s="15">
        <v>69.15</v>
      </c>
      <c r="F373" s="18">
        <v>0.0</v>
      </c>
      <c r="G373" s="9" t="s">
        <v>462</v>
      </c>
      <c r="H373" s="17" t="s">
        <v>463</v>
      </c>
      <c r="I373" s="14" t="s">
        <v>464</v>
      </c>
      <c r="N373" s="7"/>
      <c r="O373" s="7"/>
    </row>
    <row r="374">
      <c r="A374" s="9" t="s">
        <v>47</v>
      </c>
      <c r="B374" s="23">
        <v>45615.0</v>
      </c>
      <c r="C374" s="9" t="s">
        <v>92</v>
      </c>
      <c r="D374" s="9" t="s">
        <v>447</v>
      </c>
      <c r="E374" s="15">
        <v>106.15</v>
      </c>
      <c r="F374" s="18" t="s">
        <v>21</v>
      </c>
      <c r="G374" s="9" t="s">
        <v>447</v>
      </c>
      <c r="H374" s="17" t="s">
        <v>465</v>
      </c>
      <c r="I374" s="14" t="s">
        <v>466</v>
      </c>
      <c r="N374" s="7"/>
      <c r="O374" s="7"/>
    </row>
    <row r="375">
      <c r="A375" s="9" t="s">
        <v>47</v>
      </c>
      <c r="B375" s="23">
        <v>45615.0</v>
      </c>
      <c r="C375" s="9" t="s">
        <v>189</v>
      </c>
      <c r="D375" s="9" t="s">
        <v>449</v>
      </c>
      <c r="E375" s="15">
        <v>105.46</v>
      </c>
      <c r="F375" s="18" t="s">
        <v>21</v>
      </c>
      <c r="G375" s="9" t="s">
        <v>450</v>
      </c>
      <c r="H375" s="17" t="s">
        <v>467</v>
      </c>
      <c r="I375" s="14" t="s">
        <v>468</v>
      </c>
      <c r="N375" s="7"/>
      <c r="O375" s="7"/>
    </row>
    <row r="376">
      <c r="A376" s="9" t="s">
        <v>47</v>
      </c>
      <c r="B376" s="23">
        <v>45615.0</v>
      </c>
      <c r="C376" s="9" t="s">
        <v>10</v>
      </c>
      <c r="D376" s="9" t="s">
        <v>469</v>
      </c>
      <c r="E376" s="15">
        <v>165.85</v>
      </c>
      <c r="F376" s="18" t="s">
        <v>21</v>
      </c>
      <c r="G376" s="9" t="s">
        <v>470</v>
      </c>
      <c r="H376" s="17" t="s">
        <v>471</v>
      </c>
      <c r="I376" s="14" t="s">
        <v>472</v>
      </c>
      <c r="N376" s="7"/>
      <c r="O376" s="7"/>
    </row>
    <row r="377">
      <c r="A377" s="9" t="s">
        <v>47</v>
      </c>
      <c r="B377" s="23">
        <v>45615.0</v>
      </c>
      <c r="C377" s="9" t="s">
        <v>10</v>
      </c>
      <c r="D377" s="9" t="s">
        <v>67</v>
      </c>
      <c r="E377" s="15">
        <v>118.04</v>
      </c>
      <c r="F377" s="18" t="s">
        <v>97</v>
      </c>
      <c r="G377" s="9" t="s">
        <v>67</v>
      </c>
      <c r="H377" s="17" t="s">
        <v>473</v>
      </c>
      <c r="I377" s="14" t="s">
        <v>134</v>
      </c>
      <c r="N377" s="7"/>
      <c r="O377" s="7"/>
    </row>
    <row r="378">
      <c r="A378" s="9" t="s">
        <v>47</v>
      </c>
      <c r="B378" s="23">
        <v>45615.0</v>
      </c>
      <c r="C378" s="9" t="s">
        <v>92</v>
      </c>
      <c r="D378" s="9" t="s">
        <v>67</v>
      </c>
      <c r="E378" s="15">
        <v>139.97</v>
      </c>
      <c r="F378" s="18" t="s">
        <v>97</v>
      </c>
      <c r="G378" s="9" t="s">
        <v>67</v>
      </c>
      <c r="H378" s="17" t="s">
        <v>248</v>
      </c>
      <c r="I378" s="14" t="s">
        <v>466</v>
      </c>
      <c r="N378" s="7"/>
      <c r="O378" s="7"/>
    </row>
    <row r="379">
      <c r="A379" s="9" t="s">
        <v>47</v>
      </c>
      <c r="B379" s="23">
        <v>45615.0</v>
      </c>
      <c r="C379" s="9" t="s">
        <v>189</v>
      </c>
      <c r="D379" s="9" t="s">
        <v>67</v>
      </c>
      <c r="E379" s="15">
        <v>37.07</v>
      </c>
      <c r="F379" s="18" t="s">
        <v>97</v>
      </c>
      <c r="G379" s="9" t="s">
        <v>67</v>
      </c>
      <c r="H379" s="17" t="s">
        <v>358</v>
      </c>
      <c r="I379" s="14" t="s">
        <v>122</v>
      </c>
      <c r="N379" s="7"/>
      <c r="O379" s="7"/>
    </row>
    <row r="380">
      <c r="A380" s="9" t="s">
        <v>47</v>
      </c>
      <c r="B380" s="23">
        <v>45617.0</v>
      </c>
      <c r="C380" s="9" t="s">
        <v>189</v>
      </c>
      <c r="D380" s="9" t="s">
        <v>453</v>
      </c>
      <c r="E380" s="15">
        <v>39.93</v>
      </c>
      <c r="F380" s="18" t="s">
        <v>474</v>
      </c>
      <c r="G380" s="9" t="s">
        <v>454</v>
      </c>
      <c r="H380" s="17" t="s">
        <v>475</v>
      </c>
      <c r="I380" s="14" t="s">
        <v>476</v>
      </c>
      <c r="N380" s="7"/>
      <c r="O380" s="7"/>
    </row>
    <row r="381">
      <c r="A381" s="9" t="s">
        <v>47</v>
      </c>
      <c r="B381" s="23">
        <v>45617.0</v>
      </c>
      <c r="C381" s="9" t="s">
        <v>10</v>
      </c>
      <c r="D381" s="9" t="s">
        <v>457</v>
      </c>
      <c r="E381" s="15">
        <v>40.73</v>
      </c>
      <c r="F381" s="18" t="s">
        <v>474</v>
      </c>
      <c r="G381" s="9" t="s">
        <v>458</v>
      </c>
      <c r="H381" s="17" t="s">
        <v>477</v>
      </c>
      <c r="I381" s="14" t="s">
        <v>478</v>
      </c>
      <c r="N381" s="7"/>
      <c r="O381" s="7"/>
    </row>
    <row r="382">
      <c r="A382" s="9" t="s">
        <v>47</v>
      </c>
      <c r="B382" s="23">
        <v>45617.0</v>
      </c>
      <c r="C382" s="9" t="s">
        <v>92</v>
      </c>
      <c r="D382" s="9" t="s">
        <v>461</v>
      </c>
      <c r="E382" s="15">
        <v>82.0</v>
      </c>
      <c r="F382" s="18" t="s">
        <v>474</v>
      </c>
      <c r="G382" s="9" t="s">
        <v>462</v>
      </c>
      <c r="H382" s="17" t="s">
        <v>313</v>
      </c>
      <c r="I382" s="14" t="s">
        <v>479</v>
      </c>
      <c r="N382" s="7"/>
      <c r="O382" s="7"/>
    </row>
    <row r="383">
      <c r="A383" s="9" t="s">
        <v>47</v>
      </c>
      <c r="B383" s="23">
        <v>45621.0</v>
      </c>
      <c r="C383" s="9" t="s">
        <v>10</v>
      </c>
      <c r="D383" s="9" t="s">
        <v>480</v>
      </c>
      <c r="E383" s="15">
        <v>106.72</v>
      </c>
      <c r="F383" s="18" t="s">
        <v>474</v>
      </c>
      <c r="G383" s="9" t="s">
        <v>481</v>
      </c>
      <c r="H383" s="17" t="s">
        <v>482</v>
      </c>
      <c r="I383" s="14" t="s">
        <v>483</v>
      </c>
      <c r="N383" s="7"/>
      <c r="O383" s="7"/>
    </row>
    <row r="384">
      <c r="A384" s="9" t="s">
        <v>47</v>
      </c>
      <c r="B384" s="23">
        <v>45621.0</v>
      </c>
      <c r="C384" s="9" t="s">
        <v>92</v>
      </c>
      <c r="D384" s="9" t="s">
        <v>484</v>
      </c>
      <c r="E384" s="15">
        <v>104.94</v>
      </c>
      <c r="F384" s="18" t="s">
        <v>474</v>
      </c>
      <c r="G384" s="9" t="s">
        <v>485</v>
      </c>
      <c r="H384" s="17" t="s">
        <v>486</v>
      </c>
      <c r="I384" s="14" t="s">
        <v>487</v>
      </c>
      <c r="N384" s="7"/>
      <c r="O384" s="7"/>
    </row>
    <row r="385">
      <c r="A385" s="9" t="s">
        <v>47</v>
      </c>
      <c r="B385" s="23">
        <v>45621.0</v>
      </c>
      <c r="C385" s="9" t="s">
        <v>189</v>
      </c>
      <c r="D385" s="9" t="s">
        <v>488</v>
      </c>
      <c r="E385" s="15">
        <v>108.81</v>
      </c>
      <c r="F385" s="18" t="s">
        <v>474</v>
      </c>
      <c r="G385" s="9" t="s">
        <v>489</v>
      </c>
      <c r="H385" s="17" t="s">
        <v>490</v>
      </c>
      <c r="I385" s="14" t="s">
        <v>491</v>
      </c>
      <c r="N385" s="7"/>
      <c r="O385" s="7"/>
    </row>
    <row r="386">
      <c r="A386" s="9" t="s">
        <v>47</v>
      </c>
      <c r="B386" s="23">
        <v>45621.0</v>
      </c>
      <c r="C386" s="9" t="s">
        <v>189</v>
      </c>
      <c r="D386" s="9" t="s">
        <v>69</v>
      </c>
      <c r="E386" s="15">
        <v>20.36</v>
      </c>
      <c r="F386" s="18" t="s">
        <v>97</v>
      </c>
      <c r="G386" s="9" t="s">
        <v>232</v>
      </c>
      <c r="H386" s="17" t="s">
        <v>361</v>
      </c>
      <c r="I386" s="14" t="s">
        <v>122</v>
      </c>
      <c r="N386" s="7"/>
      <c r="O386" s="7"/>
    </row>
    <row r="387">
      <c r="A387" s="9" t="s">
        <v>47</v>
      </c>
      <c r="B387" s="23">
        <v>45621.0</v>
      </c>
      <c r="C387" s="9" t="s">
        <v>92</v>
      </c>
      <c r="D387" s="9" t="s">
        <v>69</v>
      </c>
      <c r="E387" s="15">
        <v>104.55</v>
      </c>
      <c r="F387" s="18" t="s">
        <v>97</v>
      </c>
      <c r="G387" s="9" t="s">
        <v>232</v>
      </c>
      <c r="H387" s="17" t="s">
        <v>392</v>
      </c>
      <c r="I387" s="14" t="s">
        <v>466</v>
      </c>
      <c r="N387" s="7"/>
      <c r="O387" s="7"/>
    </row>
    <row r="388">
      <c r="A388" s="9" t="s">
        <v>47</v>
      </c>
      <c r="B388" s="23">
        <v>45621.0</v>
      </c>
      <c r="C388" s="9" t="s">
        <v>10</v>
      </c>
      <c r="D388" s="9" t="s">
        <v>69</v>
      </c>
      <c r="E388" s="15">
        <v>9.775</v>
      </c>
      <c r="F388" s="18" t="s">
        <v>97</v>
      </c>
      <c r="G388" s="9" t="s">
        <v>232</v>
      </c>
      <c r="H388" s="17" t="s">
        <v>408</v>
      </c>
      <c r="I388" s="14" t="s">
        <v>134</v>
      </c>
      <c r="N388" s="7"/>
      <c r="O388" s="7"/>
    </row>
    <row r="389">
      <c r="A389" s="9" t="s">
        <v>47</v>
      </c>
      <c r="B389" s="23">
        <v>45623.0</v>
      </c>
      <c r="C389" s="9" t="s">
        <v>10</v>
      </c>
      <c r="D389" s="9" t="s">
        <v>447</v>
      </c>
      <c r="E389" s="15">
        <v>102.67</v>
      </c>
      <c r="F389" s="18" t="s">
        <v>40</v>
      </c>
      <c r="G389" s="9" t="s">
        <v>447</v>
      </c>
      <c r="H389" s="17" t="s">
        <v>492</v>
      </c>
      <c r="I389" s="17" t="s">
        <v>493</v>
      </c>
      <c r="N389" s="7"/>
      <c r="O389" s="7"/>
    </row>
    <row r="390">
      <c r="A390" s="9" t="s">
        <v>47</v>
      </c>
      <c r="B390" s="23">
        <v>45623.0</v>
      </c>
      <c r="C390" s="9" t="s">
        <v>92</v>
      </c>
      <c r="D390" s="9" t="s">
        <v>449</v>
      </c>
      <c r="E390" s="15">
        <v>101.56</v>
      </c>
      <c r="F390" s="18" t="s">
        <v>40</v>
      </c>
      <c r="G390" s="9" t="s">
        <v>450</v>
      </c>
      <c r="H390" s="17" t="s">
        <v>494</v>
      </c>
      <c r="I390" s="14" t="s">
        <v>495</v>
      </c>
      <c r="N390" s="7"/>
      <c r="O390" s="7"/>
    </row>
    <row r="391">
      <c r="A391" s="9" t="s">
        <v>47</v>
      </c>
      <c r="B391" s="23">
        <v>45623.0</v>
      </c>
      <c r="C391" s="9" t="s">
        <v>189</v>
      </c>
      <c r="D391" s="9" t="s">
        <v>469</v>
      </c>
      <c r="E391" s="15">
        <v>106.0</v>
      </c>
      <c r="F391" s="18" t="s">
        <v>40</v>
      </c>
      <c r="G391" s="9" t="s">
        <v>470</v>
      </c>
      <c r="H391" s="17" t="s">
        <v>496</v>
      </c>
      <c r="I391" s="14" t="s">
        <v>497</v>
      </c>
      <c r="N391" s="7"/>
      <c r="O391" s="7"/>
    </row>
    <row r="392">
      <c r="A392" s="9" t="s">
        <v>47</v>
      </c>
      <c r="B392" s="23">
        <v>45623.0</v>
      </c>
      <c r="C392" s="9" t="s">
        <v>92</v>
      </c>
      <c r="D392" s="9" t="s">
        <v>70</v>
      </c>
      <c r="E392" s="15">
        <v>73.09</v>
      </c>
      <c r="F392" s="18" t="s">
        <v>97</v>
      </c>
      <c r="G392" s="9" t="s">
        <v>70</v>
      </c>
      <c r="H392" s="17" t="s">
        <v>498</v>
      </c>
      <c r="I392" s="14" t="s">
        <v>499</v>
      </c>
      <c r="N392" s="7"/>
      <c r="O392" s="7"/>
    </row>
    <row r="393">
      <c r="A393" s="9" t="s">
        <v>47</v>
      </c>
      <c r="B393" s="23">
        <v>45623.0</v>
      </c>
      <c r="C393" s="9" t="s">
        <v>189</v>
      </c>
      <c r="D393" s="9" t="s">
        <v>70</v>
      </c>
      <c r="E393" s="15">
        <v>34.02</v>
      </c>
      <c r="F393" s="18" t="s">
        <v>97</v>
      </c>
      <c r="G393" s="9" t="s">
        <v>70</v>
      </c>
      <c r="H393" s="17" t="s">
        <v>358</v>
      </c>
      <c r="I393" s="14" t="s">
        <v>500</v>
      </c>
      <c r="N393" s="7"/>
      <c r="O393" s="7"/>
    </row>
    <row r="394">
      <c r="A394" s="9" t="s">
        <v>47</v>
      </c>
      <c r="B394" s="23">
        <v>45623.0</v>
      </c>
      <c r="C394" s="9" t="s">
        <v>10</v>
      </c>
      <c r="D394" s="9" t="s">
        <v>70</v>
      </c>
      <c r="E394" s="15">
        <v>64.42</v>
      </c>
      <c r="F394" s="18" t="s">
        <v>97</v>
      </c>
      <c r="G394" s="9" t="s">
        <v>70</v>
      </c>
      <c r="H394" s="17" t="s">
        <v>210</v>
      </c>
      <c r="I394" s="14" t="s">
        <v>501</v>
      </c>
      <c r="N394" s="7"/>
      <c r="O394" s="7"/>
    </row>
    <row r="395">
      <c r="A395" s="9" t="s">
        <v>47</v>
      </c>
      <c r="B395" s="23">
        <v>45625.0</v>
      </c>
      <c r="C395" s="9" t="s">
        <v>10</v>
      </c>
      <c r="D395" s="9" t="s">
        <v>453</v>
      </c>
      <c r="E395" s="15">
        <v>97.06</v>
      </c>
      <c r="F395" s="18" t="s">
        <v>40</v>
      </c>
      <c r="G395" s="9" t="s">
        <v>454</v>
      </c>
      <c r="H395" s="17" t="s">
        <v>509</v>
      </c>
      <c r="I395" s="17" t="s">
        <v>510</v>
      </c>
      <c r="N395" s="7"/>
      <c r="O395" s="7"/>
    </row>
    <row r="396">
      <c r="A396" s="9" t="s">
        <v>47</v>
      </c>
      <c r="B396" s="23">
        <v>45625.0</v>
      </c>
      <c r="C396" s="9" t="s">
        <v>92</v>
      </c>
      <c r="D396" s="9" t="s">
        <v>457</v>
      </c>
      <c r="E396" s="15">
        <v>96.12</v>
      </c>
      <c r="F396" s="18" t="s">
        <v>40</v>
      </c>
      <c r="G396" s="9" t="s">
        <v>458</v>
      </c>
      <c r="H396" s="17" t="s">
        <v>392</v>
      </c>
      <c r="I396" s="17" t="s">
        <v>514</v>
      </c>
      <c r="N396" s="7"/>
      <c r="O396" s="7"/>
    </row>
    <row r="397">
      <c r="A397" s="9" t="s">
        <v>47</v>
      </c>
      <c r="B397" s="23">
        <v>45625.0</v>
      </c>
      <c r="C397" s="9" t="s">
        <v>189</v>
      </c>
      <c r="D397" s="9" t="s">
        <v>461</v>
      </c>
      <c r="E397" s="15">
        <v>86.54</v>
      </c>
      <c r="F397" s="18" t="s">
        <v>40</v>
      </c>
      <c r="G397" s="9" t="s">
        <v>462</v>
      </c>
      <c r="H397" s="17" t="s">
        <v>516</v>
      </c>
      <c r="I397" s="14" t="s">
        <v>517</v>
      </c>
      <c r="N397" s="7"/>
      <c r="O397" s="7"/>
    </row>
    <row r="398">
      <c r="A398" s="9" t="s">
        <v>9</v>
      </c>
      <c r="B398" s="23">
        <v>45628.0</v>
      </c>
      <c r="C398" s="9" t="s">
        <v>189</v>
      </c>
      <c r="D398" s="9" t="s">
        <v>480</v>
      </c>
      <c r="E398" s="15">
        <v>74.06</v>
      </c>
      <c r="F398" s="18" t="s">
        <v>30</v>
      </c>
      <c r="G398" s="9" t="s">
        <v>481</v>
      </c>
      <c r="H398" s="17" t="s">
        <v>518</v>
      </c>
      <c r="I398" s="14" t="s">
        <v>519</v>
      </c>
      <c r="N398" s="7"/>
      <c r="O398" s="7"/>
    </row>
    <row r="399">
      <c r="A399" s="9" t="s">
        <v>9</v>
      </c>
      <c r="B399" s="23">
        <v>45628.0</v>
      </c>
      <c r="C399" s="9" t="s">
        <v>92</v>
      </c>
      <c r="D399" s="9" t="s">
        <v>484</v>
      </c>
      <c r="E399" s="15">
        <v>97.08</v>
      </c>
      <c r="F399" s="18" t="s">
        <v>41</v>
      </c>
      <c r="G399" s="9" t="s">
        <v>485</v>
      </c>
      <c r="H399" s="17" t="s">
        <v>520</v>
      </c>
      <c r="I399" s="14" t="s">
        <v>521</v>
      </c>
      <c r="N399" s="7"/>
      <c r="O399" s="7"/>
    </row>
    <row r="400">
      <c r="A400" s="9" t="s">
        <v>9</v>
      </c>
      <c r="B400" s="23">
        <v>45628.0</v>
      </c>
      <c r="C400" s="9" t="s">
        <v>10</v>
      </c>
      <c r="D400" s="9" t="s">
        <v>488</v>
      </c>
      <c r="E400" s="15">
        <v>97.7</v>
      </c>
      <c r="F400" s="18" t="s">
        <v>41</v>
      </c>
      <c r="G400" s="9" t="s">
        <v>489</v>
      </c>
      <c r="H400" s="17" t="s">
        <v>522</v>
      </c>
      <c r="I400" s="14" t="s">
        <v>158</v>
      </c>
      <c r="N400" s="7"/>
      <c r="O400" s="7"/>
    </row>
    <row r="401">
      <c r="A401" s="9" t="s">
        <v>9</v>
      </c>
      <c r="B401" s="23">
        <v>45630.0</v>
      </c>
      <c r="C401" s="9" t="s">
        <v>92</v>
      </c>
      <c r="D401" s="9" t="s">
        <v>447</v>
      </c>
      <c r="E401" s="15">
        <v>101.5</v>
      </c>
      <c r="F401" s="18" t="s">
        <v>41</v>
      </c>
      <c r="G401" s="9" t="s">
        <v>447</v>
      </c>
      <c r="H401" s="17" t="s">
        <v>523</v>
      </c>
      <c r="I401" s="14" t="s">
        <v>524</v>
      </c>
      <c r="N401" s="7"/>
      <c r="O401" s="7"/>
    </row>
    <row r="402">
      <c r="A402" s="9" t="s">
        <v>9</v>
      </c>
      <c r="B402" s="23">
        <v>45630.0</v>
      </c>
      <c r="C402" s="9" t="s">
        <v>10</v>
      </c>
      <c r="D402" s="9" t="s">
        <v>449</v>
      </c>
      <c r="E402" s="15">
        <v>102.09</v>
      </c>
      <c r="F402" s="18" t="s">
        <v>79</v>
      </c>
      <c r="G402" s="9" t="s">
        <v>450</v>
      </c>
      <c r="H402" s="17" t="s">
        <v>525</v>
      </c>
      <c r="I402" s="14" t="s">
        <v>526</v>
      </c>
      <c r="N402" s="7"/>
      <c r="O402" s="7"/>
    </row>
    <row r="403">
      <c r="A403" s="9" t="s">
        <v>9</v>
      </c>
      <c r="B403" s="23">
        <v>45630.0</v>
      </c>
      <c r="C403" s="9" t="s">
        <v>189</v>
      </c>
      <c r="D403" s="9" t="s">
        <v>469</v>
      </c>
      <c r="E403" s="15">
        <v>103.0</v>
      </c>
      <c r="F403" s="18" t="s">
        <v>30</v>
      </c>
      <c r="G403" s="9" t="s">
        <v>470</v>
      </c>
      <c r="H403" s="17" t="s">
        <v>527</v>
      </c>
      <c r="I403" s="14" t="s">
        <v>528</v>
      </c>
      <c r="N403" s="7"/>
      <c r="O403" s="7"/>
    </row>
    <row r="404">
      <c r="A404" s="9" t="s">
        <v>9</v>
      </c>
      <c r="B404" s="23">
        <v>45630.0</v>
      </c>
      <c r="C404" s="9" t="s">
        <v>92</v>
      </c>
      <c r="D404" s="9" t="s">
        <v>67</v>
      </c>
      <c r="E404" s="15">
        <v>30.9</v>
      </c>
      <c r="F404" s="18" t="s">
        <v>61</v>
      </c>
      <c r="G404" s="9" t="s">
        <v>67</v>
      </c>
      <c r="H404" s="17" t="s">
        <v>529</v>
      </c>
      <c r="I404" s="14" t="s">
        <v>530</v>
      </c>
      <c r="N404" s="7"/>
      <c r="O404" s="7"/>
    </row>
    <row r="405">
      <c r="A405" s="9" t="s">
        <v>9</v>
      </c>
      <c r="B405" s="23">
        <v>45630.0</v>
      </c>
      <c r="C405" s="9" t="s">
        <v>10</v>
      </c>
      <c r="D405" s="9" t="s">
        <v>67</v>
      </c>
      <c r="E405" s="15">
        <v>28.0</v>
      </c>
      <c r="F405" s="18" t="s">
        <v>61</v>
      </c>
      <c r="G405" s="9" t="s">
        <v>67</v>
      </c>
      <c r="H405" s="17" t="s">
        <v>408</v>
      </c>
      <c r="I405" s="14" t="s">
        <v>128</v>
      </c>
      <c r="N405" s="7"/>
      <c r="O405" s="7"/>
    </row>
    <row r="406">
      <c r="A406" s="9" t="s">
        <v>9</v>
      </c>
      <c r="B406" s="23">
        <v>45635.0</v>
      </c>
      <c r="C406" s="9" t="s">
        <v>92</v>
      </c>
      <c r="D406" s="9" t="s">
        <v>453</v>
      </c>
      <c r="E406" s="15">
        <v>103.25</v>
      </c>
      <c r="F406" s="18" t="s">
        <v>41</v>
      </c>
      <c r="G406" s="9" t="s">
        <v>454</v>
      </c>
      <c r="H406" s="17" t="s">
        <v>392</v>
      </c>
      <c r="I406" s="14" t="s">
        <v>134</v>
      </c>
      <c r="N406" s="7"/>
      <c r="O406" s="7"/>
    </row>
    <row r="407">
      <c r="A407" s="9" t="s">
        <v>9</v>
      </c>
      <c r="B407" s="23">
        <v>45635.0</v>
      </c>
      <c r="C407" s="9" t="s">
        <v>10</v>
      </c>
      <c r="D407" s="9" t="s">
        <v>457</v>
      </c>
      <c r="E407" s="15">
        <v>101.35</v>
      </c>
      <c r="F407" s="18" t="s">
        <v>41</v>
      </c>
      <c r="G407" s="9" t="s">
        <v>458</v>
      </c>
      <c r="H407" s="17" t="s">
        <v>531</v>
      </c>
      <c r="I407" s="14" t="s">
        <v>532</v>
      </c>
      <c r="N407" s="7"/>
      <c r="O407" s="7"/>
    </row>
    <row r="408">
      <c r="A408" s="9" t="s">
        <v>9</v>
      </c>
      <c r="B408" s="23">
        <v>45635.0</v>
      </c>
      <c r="C408" s="9" t="s">
        <v>189</v>
      </c>
      <c r="D408" s="9" t="s">
        <v>461</v>
      </c>
      <c r="E408" s="15">
        <v>102.56</v>
      </c>
      <c r="F408" s="18" t="s">
        <v>41</v>
      </c>
      <c r="G408" s="9" t="s">
        <v>462</v>
      </c>
      <c r="H408" s="17" t="s">
        <v>533</v>
      </c>
      <c r="I408" s="14" t="s">
        <v>532</v>
      </c>
      <c r="N408" s="7"/>
      <c r="O408" s="7"/>
    </row>
    <row r="409">
      <c r="A409" s="9" t="s">
        <v>9</v>
      </c>
      <c r="B409" s="23">
        <v>45635.0</v>
      </c>
      <c r="C409" s="9" t="s">
        <v>92</v>
      </c>
      <c r="D409" s="9" t="s">
        <v>69</v>
      </c>
      <c r="E409" s="15">
        <v>86.5</v>
      </c>
      <c r="F409" s="18" t="s">
        <v>61</v>
      </c>
      <c r="G409" s="9" t="s">
        <v>69</v>
      </c>
      <c r="H409" s="17" t="s">
        <v>534</v>
      </c>
      <c r="I409" s="14" t="s">
        <v>535</v>
      </c>
      <c r="N409" s="7"/>
      <c r="O409" s="7"/>
    </row>
    <row r="410">
      <c r="A410" s="9" t="s">
        <v>9</v>
      </c>
      <c r="B410" s="23">
        <v>45635.0</v>
      </c>
      <c r="C410" s="9" t="s">
        <v>189</v>
      </c>
      <c r="D410" s="9" t="s">
        <v>69</v>
      </c>
      <c r="E410" s="15">
        <v>23.78</v>
      </c>
      <c r="F410" s="18" t="s">
        <v>61</v>
      </c>
      <c r="G410" s="9" t="s">
        <v>69</v>
      </c>
      <c r="H410" s="17" t="s">
        <v>358</v>
      </c>
      <c r="I410" s="14" t="s">
        <v>539</v>
      </c>
      <c r="N410" s="7"/>
      <c r="O410" s="7"/>
    </row>
    <row r="411">
      <c r="A411" s="9" t="s">
        <v>9</v>
      </c>
      <c r="B411" s="23">
        <v>45638.0</v>
      </c>
      <c r="C411" s="9" t="s">
        <v>189</v>
      </c>
      <c r="D411" s="9" t="s">
        <v>488</v>
      </c>
      <c r="E411" s="15">
        <v>78.2</v>
      </c>
      <c r="F411" s="18" t="s">
        <v>30</v>
      </c>
      <c r="G411" s="9" t="s">
        <v>489</v>
      </c>
      <c r="H411" s="17" t="s">
        <v>540</v>
      </c>
      <c r="I411" s="14" t="s">
        <v>541</v>
      </c>
      <c r="N411" s="7"/>
      <c r="O411" s="7"/>
    </row>
    <row r="412">
      <c r="A412" s="9" t="s">
        <v>9</v>
      </c>
      <c r="B412" s="23">
        <v>45638.0</v>
      </c>
      <c r="C412" s="9" t="s">
        <v>10</v>
      </c>
      <c r="D412" s="9" t="s">
        <v>70</v>
      </c>
      <c r="E412" s="15">
        <v>632.45</v>
      </c>
      <c r="F412" s="18" t="s">
        <v>97</v>
      </c>
      <c r="G412" s="9" t="s">
        <v>70</v>
      </c>
      <c r="H412" s="17" t="s">
        <v>542</v>
      </c>
      <c r="I412" s="14" t="s">
        <v>543</v>
      </c>
      <c r="N412" s="7"/>
      <c r="O412" s="7"/>
    </row>
    <row r="413">
      <c r="A413" s="9" t="s">
        <v>9</v>
      </c>
      <c r="B413" s="23">
        <v>45639.0</v>
      </c>
      <c r="C413" s="9" t="s">
        <v>189</v>
      </c>
      <c r="D413" s="9" t="s">
        <v>484</v>
      </c>
      <c r="E413" s="15">
        <v>81.11</v>
      </c>
      <c r="F413" s="18" t="s">
        <v>55</v>
      </c>
      <c r="G413" s="9" t="s">
        <v>485</v>
      </c>
      <c r="H413" s="17" t="s">
        <v>544</v>
      </c>
      <c r="I413" s="14" t="s">
        <v>545</v>
      </c>
      <c r="N413" s="7"/>
      <c r="O413" s="7"/>
    </row>
    <row r="414">
      <c r="A414" s="9" t="s">
        <v>9</v>
      </c>
      <c r="B414" s="23">
        <v>45639.0</v>
      </c>
      <c r="C414" s="9" t="s">
        <v>92</v>
      </c>
      <c r="D414" s="9" t="s">
        <v>480</v>
      </c>
      <c r="E414" s="15">
        <v>78.0</v>
      </c>
      <c r="F414" s="18" t="s">
        <v>55</v>
      </c>
      <c r="G414" s="9" t="s">
        <v>481</v>
      </c>
      <c r="H414" s="17" t="s">
        <v>546</v>
      </c>
      <c r="I414" s="14" t="s">
        <v>547</v>
      </c>
      <c r="N414" s="7"/>
      <c r="O414" s="7"/>
    </row>
    <row r="415">
      <c r="A415" s="9" t="s">
        <v>9</v>
      </c>
      <c r="B415" s="23">
        <v>45643.0</v>
      </c>
      <c r="C415" s="9" t="s">
        <v>92</v>
      </c>
      <c r="D415" s="9" t="s">
        <v>469</v>
      </c>
      <c r="E415" s="15">
        <v>101.12</v>
      </c>
      <c r="F415" s="18" t="s">
        <v>55</v>
      </c>
      <c r="G415" s="9" t="s">
        <v>470</v>
      </c>
      <c r="H415" s="17" t="s">
        <v>548</v>
      </c>
      <c r="I415" s="14" t="s">
        <v>158</v>
      </c>
      <c r="N415" s="7"/>
      <c r="O415" s="7"/>
    </row>
    <row r="416">
      <c r="A416" s="9" t="s">
        <v>9</v>
      </c>
      <c r="B416" s="23">
        <v>45643.0</v>
      </c>
      <c r="C416" s="9" t="s">
        <v>10</v>
      </c>
      <c r="D416" s="9" t="s">
        <v>70</v>
      </c>
      <c r="E416" s="15">
        <v>299.03</v>
      </c>
      <c r="F416" s="18" t="s">
        <v>97</v>
      </c>
      <c r="G416" s="9" t="s">
        <v>70</v>
      </c>
      <c r="H416" s="17" t="s">
        <v>549</v>
      </c>
      <c r="I416" s="14" t="s">
        <v>134</v>
      </c>
      <c r="N416" s="7"/>
      <c r="O416" s="7"/>
    </row>
    <row r="417">
      <c r="A417" s="9" t="s">
        <v>9</v>
      </c>
      <c r="B417" s="23">
        <v>45643.0</v>
      </c>
      <c r="C417" s="9" t="s">
        <v>92</v>
      </c>
      <c r="D417" s="9" t="s">
        <v>70</v>
      </c>
      <c r="E417" s="15">
        <v>149.3</v>
      </c>
      <c r="F417" s="18" t="s">
        <v>97</v>
      </c>
      <c r="G417" s="9" t="s">
        <v>70</v>
      </c>
      <c r="H417" s="17" t="s">
        <v>550</v>
      </c>
      <c r="I417" s="14" t="s">
        <v>551</v>
      </c>
      <c r="N417" s="7"/>
      <c r="O417" s="7"/>
    </row>
    <row r="418">
      <c r="A418" s="9" t="s">
        <v>47</v>
      </c>
      <c r="B418" s="21">
        <v>45646.0</v>
      </c>
      <c r="C418" s="9" t="s">
        <v>92</v>
      </c>
      <c r="D418" s="9" t="s">
        <v>480</v>
      </c>
      <c r="E418" s="15">
        <v>42.33</v>
      </c>
      <c r="F418" s="18" t="s">
        <v>97</v>
      </c>
      <c r="G418" s="9" t="s">
        <v>481</v>
      </c>
      <c r="H418" s="17" t="s">
        <v>552</v>
      </c>
      <c r="I418" s="14" t="s">
        <v>553</v>
      </c>
      <c r="N418" s="7"/>
      <c r="O418" s="7"/>
    </row>
    <row r="419">
      <c r="A419" s="9" t="s">
        <v>47</v>
      </c>
      <c r="B419" s="21">
        <v>45646.0</v>
      </c>
      <c r="C419" s="9" t="s">
        <v>92</v>
      </c>
      <c r="D419" s="9" t="s">
        <v>484</v>
      </c>
      <c r="E419" s="15">
        <v>47.89</v>
      </c>
      <c r="F419" s="18" t="s">
        <v>97</v>
      </c>
      <c r="G419" s="9" t="s">
        <v>485</v>
      </c>
      <c r="H419" s="17" t="s">
        <v>552</v>
      </c>
      <c r="I419" s="14" t="s">
        <v>554</v>
      </c>
      <c r="N419" s="7"/>
      <c r="O419" s="7"/>
    </row>
    <row r="420">
      <c r="A420" s="9" t="s">
        <v>47</v>
      </c>
      <c r="B420" s="21">
        <v>45646.0</v>
      </c>
      <c r="C420" s="9" t="s">
        <v>189</v>
      </c>
      <c r="D420" s="9" t="s">
        <v>488</v>
      </c>
      <c r="E420" s="15">
        <v>51.12</v>
      </c>
      <c r="F420" s="18" t="s">
        <v>97</v>
      </c>
      <c r="G420" s="9" t="s">
        <v>489</v>
      </c>
      <c r="H420" s="17" t="s">
        <v>555</v>
      </c>
      <c r="I420" s="14" t="s">
        <v>556</v>
      </c>
      <c r="N420" s="7"/>
      <c r="O420" s="7"/>
    </row>
    <row r="421">
      <c r="A421" s="9" t="s">
        <v>47</v>
      </c>
      <c r="B421" s="21">
        <v>45646.0</v>
      </c>
      <c r="C421" s="9" t="s">
        <v>10</v>
      </c>
      <c r="D421" s="9" t="s">
        <v>67</v>
      </c>
      <c r="E421" s="15">
        <v>209.38</v>
      </c>
      <c r="F421" s="18" t="s">
        <v>97</v>
      </c>
      <c r="G421" s="9" t="s">
        <v>67</v>
      </c>
      <c r="H421" s="17" t="s">
        <v>433</v>
      </c>
      <c r="I421" s="14" t="s">
        <v>134</v>
      </c>
      <c r="N421" s="7"/>
      <c r="O421" s="7"/>
    </row>
    <row r="422">
      <c r="A422" s="9" t="s">
        <v>47</v>
      </c>
      <c r="B422" s="21">
        <v>45646.0</v>
      </c>
      <c r="C422" s="9" t="s">
        <v>92</v>
      </c>
      <c r="D422" s="9" t="s">
        <v>67</v>
      </c>
      <c r="E422" s="15">
        <v>20.56</v>
      </c>
      <c r="F422" s="18" t="s">
        <v>97</v>
      </c>
      <c r="G422" s="9" t="s">
        <v>67</v>
      </c>
      <c r="H422" s="17" t="s">
        <v>529</v>
      </c>
      <c r="I422" s="14" t="s">
        <v>559</v>
      </c>
      <c r="N422" s="7"/>
      <c r="O422" s="7"/>
    </row>
    <row r="423">
      <c r="A423" s="9" t="s">
        <v>47</v>
      </c>
      <c r="B423" s="21">
        <v>45649.0</v>
      </c>
      <c r="C423" s="9" t="s">
        <v>92</v>
      </c>
      <c r="D423" s="9" t="s">
        <v>69</v>
      </c>
      <c r="E423" s="15">
        <v>345.67</v>
      </c>
      <c r="F423" s="18" t="s">
        <v>58</v>
      </c>
      <c r="G423" s="9" t="s">
        <v>69</v>
      </c>
      <c r="H423" s="17" t="s">
        <v>394</v>
      </c>
      <c r="I423" s="14" t="s">
        <v>560</v>
      </c>
      <c r="N423" s="7"/>
      <c r="O423" s="7"/>
    </row>
    <row r="424">
      <c r="A424" s="9" t="s">
        <v>47</v>
      </c>
      <c r="B424" s="21">
        <v>45649.0</v>
      </c>
      <c r="C424" s="9" t="s">
        <v>10</v>
      </c>
      <c r="D424" s="9" t="s">
        <v>70</v>
      </c>
      <c r="E424" s="15">
        <v>157.45</v>
      </c>
      <c r="F424" s="18" t="s">
        <v>142</v>
      </c>
      <c r="G424" s="9" t="s">
        <v>70</v>
      </c>
      <c r="H424" s="17" t="s">
        <v>561</v>
      </c>
      <c r="I424" s="14" t="s">
        <v>134</v>
      </c>
      <c r="N424" s="7"/>
      <c r="O424" s="7"/>
    </row>
    <row r="425">
      <c r="A425" s="9" t="s">
        <v>47</v>
      </c>
      <c r="B425" s="21">
        <v>45649.0</v>
      </c>
      <c r="C425" s="9" t="s">
        <v>92</v>
      </c>
      <c r="D425" s="9" t="s">
        <v>469</v>
      </c>
      <c r="E425" s="15">
        <v>107.08</v>
      </c>
      <c r="F425" s="18" t="s">
        <v>97</v>
      </c>
      <c r="G425" s="9" t="s">
        <v>470</v>
      </c>
      <c r="H425" s="17" t="s">
        <v>392</v>
      </c>
      <c r="I425" s="14" t="s">
        <v>562</v>
      </c>
      <c r="N425" s="7"/>
      <c r="O425" s="7"/>
    </row>
    <row r="426">
      <c r="A426" s="9" t="s">
        <v>9</v>
      </c>
      <c r="B426" s="21">
        <v>45652.0</v>
      </c>
      <c r="C426" s="9" t="s">
        <v>92</v>
      </c>
      <c r="D426" s="9" t="s">
        <v>453</v>
      </c>
      <c r="E426" s="15">
        <v>104.56</v>
      </c>
      <c r="F426" s="18" t="s">
        <v>58</v>
      </c>
      <c r="G426" s="9" t="s">
        <v>454</v>
      </c>
      <c r="H426" s="17" t="s">
        <v>546</v>
      </c>
      <c r="I426" s="14" t="s">
        <v>562</v>
      </c>
      <c r="N426" s="7"/>
      <c r="O426" s="7"/>
    </row>
    <row r="427">
      <c r="A427" s="9" t="s">
        <v>9</v>
      </c>
      <c r="B427" s="21">
        <v>45652.0</v>
      </c>
      <c r="C427" s="9" t="s">
        <v>92</v>
      </c>
      <c r="D427" s="9" t="s">
        <v>457</v>
      </c>
      <c r="E427" s="15">
        <v>108.09</v>
      </c>
      <c r="F427" s="18" t="s">
        <v>85</v>
      </c>
      <c r="G427" s="9" t="s">
        <v>458</v>
      </c>
      <c r="H427" s="17" t="s">
        <v>563</v>
      </c>
      <c r="I427" s="14" t="s">
        <v>562</v>
      </c>
      <c r="N427" s="7"/>
      <c r="O427" s="7"/>
    </row>
    <row r="428">
      <c r="A428" s="9" t="s">
        <v>9</v>
      </c>
      <c r="B428" s="21">
        <v>45652.0</v>
      </c>
      <c r="C428" s="9" t="s">
        <v>92</v>
      </c>
      <c r="D428" s="9" t="s">
        <v>461</v>
      </c>
      <c r="E428" s="15">
        <v>110.66</v>
      </c>
      <c r="F428" s="18" t="s">
        <v>85</v>
      </c>
      <c r="G428" s="9" t="s">
        <v>462</v>
      </c>
      <c r="H428" s="17" t="s">
        <v>563</v>
      </c>
      <c r="I428" s="14" t="s">
        <v>562</v>
      </c>
      <c r="N428" s="7"/>
      <c r="O428" s="7"/>
    </row>
    <row r="429">
      <c r="A429" s="9" t="s">
        <v>9</v>
      </c>
      <c r="B429" s="21">
        <v>45652.0</v>
      </c>
      <c r="C429" s="9" t="s">
        <v>10</v>
      </c>
      <c r="D429" s="9" t="s">
        <v>67</v>
      </c>
      <c r="E429" s="15">
        <v>68.35</v>
      </c>
      <c r="F429" s="18" t="s">
        <v>167</v>
      </c>
      <c r="G429" s="9" t="s">
        <v>67</v>
      </c>
      <c r="H429" s="17" t="s">
        <v>564</v>
      </c>
      <c r="I429" s="14" t="s">
        <v>134</v>
      </c>
      <c r="N429" s="7"/>
      <c r="O429" s="7"/>
    </row>
    <row r="430">
      <c r="A430" s="9" t="s">
        <v>9</v>
      </c>
      <c r="B430" s="21">
        <v>45652.0</v>
      </c>
      <c r="C430" s="9" t="s">
        <v>92</v>
      </c>
      <c r="D430" s="9" t="s">
        <v>67</v>
      </c>
      <c r="E430" s="15">
        <v>57.12</v>
      </c>
      <c r="F430" s="18" t="s">
        <v>167</v>
      </c>
      <c r="G430" s="9" t="s">
        <v>67</v>
      </c>
      <c r="H430" s="17" t="s">
        <v>565</v>
      </c>
      <c r="I430" s="14" t="s">
        <v>562</v>
      </c>
      <c r="N430" s="7"/>
      <c r="O430" s="7"/>
    </row>
    <row r="431">
      <c r="A431" s="9" t="s">
        <v>9</v>
      </c>
      <c r="B431" s="21">
        <v>45653.0</v>
      </c>
      <c r="C431" s="9" t="s">
        <v>92</v>
      </c>
      <c r="D431" s="9" t="s">
        <v>69</v>
      </c>
      <c r="E431" s="15">
        <v>28.12</v>
      </c>
      <c r="F431" s="18" t="s">
        <v>171</v>
      </c>
      <c r="G431" s="9" t="s">
        <v>69</v>
      </c>
      <c r="H431" s="17" t="s">
        <v>529</v>
      </c>
      <c r="I431" s="14" t="s">
        <v>554</v>
      </c>
      <c r="N431" s="7"/>
      <c r="O431" s="7"/>
    </row>
    <row r="432">
      <c r="A432" s="9" t="s">
        <v>9</v>
      </c>
      <c r="B432" s="21">
        <v>45653.0</v>
      </c>
      <c r="C432" s="9" t="s">
        <v>92</v>
      </c>
      <c r="D432" s="9" t="s">
        <v>480</v>
      </c>
      <c r="E432" s="15">
        <v>102.45</v>
      </c>
      <c r="F432" s="18" t="s">
        <v>97</v>
      </c>
      <c r="G432" s="9" t="s">
        <v>481</v>
      </c>
      <c r="H432" s="17" t="s">
        <v>534</v>
      </c>
      <c r="I432" s="14" t="s">
        <v>566</v>
      </c>
      <c r="N432" s="7"/>
      <c r="O432" s="7"/>
    </row>
    <row r="433">
      <c r="A433" s="9" t="s">
        <v>9</v>
      </c>
      <c r="B433" s="21">
        <v>45653.0</v>
      </c>
      <c r="C433" s="9" t="s">
        <v>92</v>
      </c>
      <c r="D433" s="9" t="s">
        <v>484</v>
      </c>
      <c r="E433" s="15">
        <v>98.87</v>
      </c>
      <c r="F433" s="18" t="s">
        <v>171</v>
      </c>
      <c r="G433" s="9" t="s">
        <v>485</v>
      </c>
      <c r="H433" s="17" t="s">
        <v>313</v>
      </c>
      <c r="I433" s="14" t="s">
        <v>567</v>
      </c>
      <c r="N433" s="7"/>
      <c r="O433" s="7"/>
    </row>
    <row r="434">
      <c r="A434" s="9" t="s">
        <v>9</v>
      </c>
      <c r="B434" s="21">
        <v>45653.0</v>
      </c>
      <c r="C434" s="9" t="s">
        <v>92</v>
      </c>
      <c r="D434" s="9" t="s">
        <v>488</v>
      </c>
      <c r="E434" s="15">
        <v>89.33</v>
      </c>
      <c r="F434" s="18" t="s">
        <v>171</v>
      </c>
      <c r="G434" s="9" t="s">
        <v>489</v>
      </c>
      <c r="H434" s="17" t="s">
        <v>534</v>
      </c>
      <c r="I434" s="14" t="s">
        <v>566</v>
      </c>
      <c r="N434" s="7"/>
      <c r="O434" s="7"/>
    </row>
    <row r="435">
      <c r="A435" s="9" t="s">
        <v>9</v>
      </c>
      <c r="B435" s="21">
        <v>45656.0</v>
      </c>
      <c r="C435" s="9" t="s">
        <v>92</v>
      </c>
      <c r="D435" s="9" t="s">
        <v>453</v>
      </c>
      <c r="E435" s="15">
        <v>102.36</v>
      </c>
      <c r="F435" s="18" t="s">
        <v>58</v>
      </c>
      <c r="G435" s="9" t="s">
        <v>454</v>
      </c>
      <c r="H435" s="17" t="s">
        <v>563</v>
      </c>
      <c r="I435" s="14" t="s">
        <v>466</v>
      </c>
      <c r="N435" s="7"/>
      <c r="O435" s="7"/>
    </row>
    <row r="436">
      <c r="A436" s="9" t="s">
        <v>9</v>
      </c>
      <c r="B436" s="21">
        <v>45656.0</v>
      </c>
      <c r="C436" s="9" t="s">
        <v>189</v>
      </c>
      <c r="D436" s="9" t="s">
        <v>457</v>
      </c>
      <c r="E436" s="15">
        <v>105.0</v>
      </c>
      <c r="F436" s="18" t="s">
        <v>58</v>
      </c>
      <c r="G436" s="9" t="s">
        <v>458</v>
      </c>
      <c r="H436" s="17" t="s">
        <v>313</v>
      </c>
      <c r="I436" s="14" t="s">
        <v>568</v>
      </c>
      <c r="N436" s="7"/>
      <c r="O436" s="7"/>
    </row>
    <row r="437">
      <c r="A437" s="9" t="s">
        <v>9</v>
      </c>
      <c r="B437" s="21">
        <v>45656.0</v>
      </c>
      <c r="C437" s="9" t="s">
        <v>92</v>
      </c>
      <c r="D437" s="9" t="s">
        <v>480</v>
      </c>
      <c r="E437" s="15">
        <v>103.87</v>
      </c>
      <c r="F437" s="18" t="s">
        <v>58</v>
      </c>
      <c r="G437" s="9" t="s">
        <v>481</v>
      </c>
      <c r="H437" s="17" t="s">
        <v>569</v>
      </c>
      <c r="I437" s="14" t="s">
        <v>570</v>
      </c>
      <c r="N437" s="7"/>
      <c r="O437" s="7"/>
    </row>
    <row r="438">
      <c r="A438" s="9" t="s">
        <v>9</v>
      </c>
      <c r="B438" s="21">
        <v>45656.0</v>
      </c>
      <c r="C438" s="9" t="s">
        <v>92</v>
      </c>
      <c r="D438" s="9" t="s">
        <v>70</v>
      </c>
      <c r="E438" s="15">
        <v>60.35</v>
      </c>
      <c r="F438" s="18" t="s">
        <v>97</v>
      </c>
      <c r="G438" s="9" t="s">
        <v>70</v>
      </c>
      <c r="H438" s="17" t="s">
        <v>534</v>
      </c>
      <c r="I438" s="14" t="s">
        <v>567</v>
      </c>
      <c r="N438" s="7"/>
      <c r="O438" s="7"/>
    </row>
    <row r="439">
      <c r="A439" s="9" t="s">
        <v>9</v>
      </c>
      <c r="B439" s="21">
        <v>45656.0</v>
      </c>
      <c r="C439" s="9" t="s">
        <v>10</v>
      </c>
      <c r="D439" s="9" t="s">
        <v>70</v>
      </c>
      <c r="E439" s="15">
        <v>63.76</v>
      </c>
      <c r="F439" s="18" t="s">
        <v>97</v>
      </c>
      <c r="G439" s="9" t="s">
        <v>70</v>
      </c>
      <c r="H439" s="17" t="s">
        <v>225</v>
      </c>
      <c r="I439" s="14" t="s">
        <v>134</v>
      </c>
      <c r="N439" s="7"/>
      <c r="O439" s="7"/>
    </row>
    <row r="440">
      <c r="A440" s="9" t="s">
        <v>9</v>
      </c>
      <c r="B440" s="21">
        <v>45659.0</v>
      </c>
      <c r="C440" s="9" t="s">
        <v>10</v>
      </c>
      <c r="D440" s="9" t="s">
        <v>67</v>
      </c>
      <c r="E440" s="15">
        <v>140.12</v>
      </c>
      <c r="F440" s="18" t="s">
        <v>167</v>
      </c>
      <c r="G440" s="9" t="s">
        <v>67</v>
      </c>
      <c r="H440" s="17" t="s">
        <v>140</v>
      </c>
      <c r="I440" s="14" t="s">
        <v>572</v>
      </c>
      <c r="N440" s="7"/>
      <c r="O440" s="7"/>
    </row>
    <row r="441">
      <c r="A441" s="9" t="s">
        <v>9</v>
      </c>
      <c r="B441" s="21">
        <v>45659.0</v>
      </c>
      <c r="C441" s="9" t="s">
        <v>92</v>
      </c>
      <c r="D441" s="9" t="s">
        <v>447</v>
      </c>
      <c r="E441" s="15">
        <v>97.35</v>
      </c>
      <c r="F441" s="18" t="s">
        <v>167</v>
      </c>
      <c r="G441" s="9" t="s">
        <v>447</v>
      </c>
      <c r="H441" s="17" t="s">
        <v>573</v>
      </c>
      <c r="I441" s="14" t="s">
        <v>574</v>
      </c>
      <c r="N441" s="7"/>
      <c r="O441" s="7"/>
    </row>
    <row r="442">
      <c r="A442" s="9" t="s">
        <v>9</v>
      </c>
      <c r="B442" s="21">
        <v>45663.0</v>
      </c>
      <c r="C442" s="9" t="s">
        <v>10</v>
      </c>
      <c r="D442" s="9" t="s">
        <v>469</v>
      </c>
      <c r="E442" s="15">
        <v>105.37</v>
      </c>
      <c r="F442" s="18" t="s">
        <v>171</v>
      </c>
      <c r="G442" s="9" t="s">
        <v>470</v>
      </c>
      <c r="H442" s="17" t="s">
        <v>563</v>
      </c>
      <c r="I442" s="14" t="s">
        <v>567</v>
      </c>
      <c r="N442" s="7"/>
      <c r="O442" s="7"/>
    </row>
    <row r="443">
      <c r="A443" s="9" t="s">
        <v>9</v>
      </c>
      <c r="B443" s="21">
        <v>45663.0</v>
      </c>
      <c r="C443" s="9" t="s">
        <v>92</v>
      </c>
      <c r="D443" s="9" t="s">
        <v>484</v>
      </c>
      <c r="E443" s="15">
        <v>101.09</v>
      </c>
      <c r="F443" s="18" t="s">
        <v>171</v>
      </c>
      <c r="G443" s="9" t="s">
        <v>485</v>
      </c>
      <c r="H443" s="17" t="s">
        <v>563</v>
      </c>
      <c r="I443" s="14" t="s">
        <v>466</v>
      </c>
      <c r="N443" s="7"/>
      <c r="O443" s="7"/>
    </row>
    <row r="444">
      <c r="A444" s="9" t="s">
        <v>9</v>
      </c>
      <c r="B444" s="21">
        <v>45663.0</v>
      </c>
      <c r="C444" s="9" t="s">
        <v>189</v>
      </c>
      <c r="D444" s="9" t="s">
        <v>488</v>
      </c>
      <c r="E444" s="15">
        <v>103.45</v>
      </c>
      <c r="F444" s="18" t="s">
        <v>171</v>
      </c>
      <c r="G444" s="9" t="s">
        <v>489</v>
      </c>
      <c r="H444" s="17" t="s">
        <v>575</v>
      </c>
      <c r="I444" s="14" t="s">
        <v>576</v>
      </c>
      <c r="N444" s="7"/>
      <c r="O444" s="7"/>
    </row>
    <row r="445">
      <c r="A445" s="9" t="s">
        <v>9</v>
      </c>
      <c r="B445" s="21">
        <v>45663.0</v>
      </c>
      <c r="C445" s="9" t="s">
        <v>92</v>
      </c>
      <c r="D445" s="9" t="s">
        <v>69</v>
      </c>
      <c r="E445" s="15">
        <v>302.67</v>
      </c>
      <c r="F445" s="18" t="s">
        <v>167</v>
      </c>
      <c r="G445" s="9" t="s">
        <v>69</v>
      </c>
      <c r="H445" s="17" t="s">
        <v>437</v>
      </c>
      <c r="I445" s="14" t="s">
        <v>134</v>
      </c>
      <c r="N445" s="7"/>
      <c r="O445" s="7"/>
    </row>
    <row r="446">
      <c r="A446" s="9" t="s">
        <v>9</v>
      </c>
      <c r="B446" s="21">
        <v>45663.0</v>
      </c>
      <c r="C446" s="9" t="s">
        <v>10</v>
      </c>
      <c r="D446" s="9" t="s">
        <v>69</v>
      </c>
      <c r="E446" s="15">
        <v>128.35</v>
      </c>
      <c r="F446" s="18" t="s">
        <v>167</v>
      </c>
      <c r="G446" s="9" t="s">
        <v>69</v>
      </c>
      <c r="H446" s="17" t="s">
        <v>577</v>
      </c>
      <c r="I446" s="14" t="s">
        <v>134</v>
      </c>
      <c r="N446" s="7"/>
      <c r="O446" s="7"/>
    </row>
    <row r="447">
      <c r="A447" s="9" t="s">
        <v>9</v>
      </c>
      <c r="B447" s="21">
        <v>45665.0</v>
      </c>
      <c r="C447" s="9" t="s">
        <v>92</v>
      </c>
      <c r="D447" s="9" t="s">
        <v>453</v>
      </c>
      <c r="E447" s="15">
        <v>149.0</v>
      </c>
      <c r="F447" s="18" t="s">
        <v>167</v>
      </c>
      <c r="G447" s="9" t="s">
        <v>454</v>
      </c>
      <c r="H447" s="17" t="s">
        <v>578</v>
      </c>
      <c r="I447" s="14" t="s">
        <v>466</v>
      </c>
      <c r="N447" s="7"/>
      <c r="O447" s="7"/>
    </row>
    <row r="448">
      <c r="A448" s="9" t="s">
        <v>9</v>
      </c>
      <c r="B448" s="21">
        <v>45665.0</v>
      </c>
      <c r="C448" s="9" t="s">
        <v>10</v>
      </c>
      <c r="D448" s="9" t="s">
        <v>480</v>
      </c>
      <c r="E448" s="15">
        <v>104.12</v>
      </c>
      <c r="F448" s="18" t="s">
        <v>167</v>
      </c>
      <c r="G448" s="9" t="s">
        <v>481</v>
      </c>
      <c r="H448" s="17" t="s">
        <v>579</v>
      </c>
      <c r="I448" s="14" t="s">
        <v>574</v>
      </c>
      <c r="N448" s="7"/>
      <c r="O448" s="7"/>
    </row>
    <row r="449">
      <c r="A449" s="9" t="s">
        <v>9</v>
      </c>
      <c r="B449" s="21">
        <v>45667.0</v>
      </c>
      <c r="C449" s="9" t="s">
        <v>92</v>
      </c>
      <c r="D449" s="9" t="s">
        <v>580</v>
      </c>
      <c r="E449" s="15">
        <v>108.45</v>
      </c>
      <c r="F449" s="18" t="s">
        <v>422</v>
      </c>
      <c r="G449" s="9" t="s">
        <v>581</v>
      </c>
      <c r="H449" s="17" t="s">
        <v>582</v>
      </c>
      <c r="I449" s="14" t="s">
        <v>583</v>
      </c>
      <c r="N449" s="7"/>
      <c r="O449" s="7"/>
    </row>
    <row r="450">
      <c r="A450" s="9" t="s">
        <v>9</v>
      </c>
      <c r="B450" s="21">
        <v>45667.0</v>
      </c>
      <c r="C450" s="9" t="s">
        <v>189</v>
      </c>
      <c r="D450" s="9" t="s">
        <v>584</v>
      </c>
      <c r="E450" s="15">
        <v>102.35</v>
      </c>
      <c r="F450" s="18" t="s">
        <v>422</v>
      </c>
      <c r="G450" s="9" t="s">
        <v>585</v>
      </c>
      <c r="H450" s="17" t="s">
        <v>586</v>
      </c>
      <c r="I450" s="14" t="s">
        <v>583</v>
      </c>
      <c r="N450" s="7"/>
      <c r="O450" s="7"/>
    </row>
    <row r="451">
      <c r="A451" s="9" t="s">
        <v>9</v>
      </c>
      <c r="B451" s="21">
        <v>45667.0</v>
      </c>
      <c r="C451" s="9" t="s">
        <v>10</v>
      </c>
      <c r="D451" s="9" t="s">
        <v>70</v>
      </c>
      <c r="E451" s="15">
        <v>110.45</v>
      </c>
      <c r="F451" s="18" t="s">
        <v>167</v>
      </c>
      <c r="G451" s="9" t="s">
        <v>70</v>
      </c>
      <c r="H451" s="17" t="s">
        <v>587</v>
      </c>
      <c r="I451" s="14" t="s">
        <v>134</v>
      </c>
      <c r="N451" s="7"/>
      <c r="O451" s="7"/>
    </row>
    <row r="452">
      <c r="A452" s="9" t="s">
        <v>47</v>
      </c>
      <c r="B452" s="21">
        <v>45671.0</v>
      </c>
      <c r="C452" s="9" t="s">
        <v>10</v>
      </c>
      <c r="D452" s="9" t="s">
        <v>67</v>
      </c>
      <c r="E452" s="15">
        <v>176.0</v>
      </c>
      <c r="F452" s="18" t="s">
        <v>262</v>
      </c>
      <c r="G452" s="9" t="s">
        <v>67</v>
      </c>
      <c r="H452" s="17" t="s">
        <v>588</v>
      </c>
      <c r="I452" s="14" t="s">
        <v>589</v>
      </c>
      <c r="N452" s="7"/>
      <c r="O452" s="7"/>
    </row>
    <row r="453">
      <c r="A453" s="9" t="s">
        <v>47</v>
      </c>
      <c r="B453" s="21">
        <v>45671.0</v>
      </c>
      <c r="C453" s="9" t="s">
        <v>189</v>
      </c>
      <c r="D453" s="9" t="s">
        <v>590</v>
      </c>
      <c r="E453" s="15">
        <v>106.0</v>
      </c>
      <c r="F453" s="18" t="s">
        <v>422</v>
      </c>
      <c r="G453" s="9" t="s">
        <v>591</v>
      </c>
      <c r="H453" s="17" t="s">
        <v>592</v>
      </c>
      <c r="I453" s="14" t="s">
        <v>576</v>
      </c>
      <c r="N453" s="7"/>
      <c r="O453" s="7"/>
    </row>
    <row r="454">
      <c r="A454" s="9" t="s">
        <v>47</v>
      </c>
      <c r="B454" s="21">
        <v>45671.0</v>
      </c>
      <c r="C454" s="9" t="s">
        <v>92</v>
      </c>
      <c r="D454" s="9" t="s">
        <v>593</v>
      </c>
      <c r="E454" s="15">
        <v>104.0</v>
      </c>
      <c r="F454" s="18" t="s">
        <v>422</v>
      </c>
      <c r="G454" s="9" t="s">
        <v>594</v>
      </c>
      <c r="H454" s="17" t="s">
        <v>595</v>
      </c>
      <c r="I454" s="14" t="s">
        <v>596</v>
      </c>
      <c r="N454" s="7"/>
      <c r="O454" s="7"/>
    </row>
    <row r="455">
      <c r="A455" s="9" t="s">
        <v>9</v>
      </c>
      <c r="B455" s="21">
        <v>45672.0</v>
      </c>
      <c r="C455" s="9" t="s">
        <v>189</v>
      </c>
      <c r="D455" s="9" t="s">
        <v>597</v>
      </c>
      <c r="E455" s="15">
        <v>94.75</v>
      </c>
      <c r="F455" s="18" t="s">
        <v>422</v>
      </c>
      <c r="G455" s="9" t="s">
        <v>598</v>
      </c>
      <c r="H455" s="17" t="s">
        <v>579</v>
      </c>
      <c r="I455" s="14" t="s">
        <v>599</v>
      </c>
      <c r="N455" s="7"/>
      <c r="O455" s="7"/>
    </row>
    <row r="456">
      <c r="A456" s="9" t="s">
        <v>9</v>
      </c>
      <c r="B456" s="21">
        <v>45672.0</v>
      </c>
      <c r="C456" s="9" t="s">
        <v>92</v>
      </c>
      <c r="D456" s="9" t="s">
        <v>600</v>
      </c>
      <c r="E456" s="15">
        <v>98.12</v>
      </c>
      <c r="F456" s="18" t="s">
        <v>422</v>
      </c>
      <c r="G456" s="9" t="s">
        <v>601</v>
      </c>
      <c r="H456" s="17" t="s">
        <v>602</v>
      </c>
      <c r="I456" s="14" t="s">
        <v>583</v>
      </c>
      <c r="N456" s="7"/>
      <c r="O456" s="7"/>
    </row>
    <row r="457">
      <c r="A457" s="9" t="s">
        <v>9</v>
      </c>
      <c r="B457" s="21">
        <v>45672.0</v>
      </c>
      <c r="C457" s="9" t="s">
        <v>10</v>
      </c>
      <c r="D457" s="9" t="s">
        <v>69</v>
      </c>
      <c r="E457" s="15">
        <v>210.35</v>
      </c>
      <c r="F457" s="18" t="s">
        <v>262</v>
      </c>
      <c r="G457" s="9" t="s">
        <v>69</v>
      </c>
      <c r="H457" s="17" t="s">
        <v>603</v>
      </c>
      <c r="I457" s="14" t="s">
        <v>134</v>
      </c>
      <c r="N457" s="7"/>
      <c r="O457" s="7"/>
    </row>
    <row r="458">
      <c r="A458" s="9" t="s">
        <v>50</v>
      </c>
      <c r="B458" s="21">
        <v>45674.0</v>
      </c>
      <c r="C458" s="9" t="s">
        <v>92</v>
      </c>
      <c r="D458" s="9" t="s">
        <v>70</v>
      </c>
      <c r="E458" s="15">
        <v>70.35</v>
      </c>
      <c r="F458" s="18" t="s">
        <v>262</v>
      </c>
      <c r="G458" s="9" t="s">
        <v>70</v>
      </c>
      <c r="H458" s="17" t="s">
        <v>498</v>
      </c>
      <c r="I458" s="14" t="s">
        <v>583</v>
      </c>
      <c r="N458" s="7"/>
      <c r="O458" s="7"/>
    </row>
    <row r="459">
      <c r="A459" s="9" t="s">
        <v>50</v>
      </c>
      <c r="B459" s="21">
        <v>45674.0</v>
      </c>
      <c r="C459" s="9" t="s">
        <v>189</v>
      </c>
      <c r="D459" s="9" t="s">
        <v>604</v>
      </c>
      <c r="E459" s="15">
        <v>98.78</v>
      </c>
      <c r="F459" s="18" t="s">
        <v>422</v>
      </c>
      <c r="G459" s="9" t="s">
        <v>605</v>
      </c>
      <c r="H459" s="17" t="s">
        <v>606</v>
      </c>
      <c r="I459" s="14" t="s">
        <v>576</v>
      </c>
      <c r="N459" s="7"/>
      <c r="O459" s="7"/>
    </row>
    <row r="460">
      <c r="A460" s="9" t="s">
        <v>50</v>
      </c>
      <c r="B460" s="21">
        <v>45674.0</v>
      </c>
      <c r="C460" s="9" t="s">
        <v>10</v>
      </c>
      <c r="D460" s="9" t="s">
        <v>580</v>
      </c>
      <c r="E460" s="15">
        <v>78.67</v>
      </c>
      <c r="F460" s="18" t="s">
        <v>607</v>
      </c>
      <c r="G460" s="9" t="s">
        <v>581</v>
      </c>
      <c r="H460" s="17" t="s">
        <v>573</v>
      </c>
      <c r="I460" s="14" t="s">
        <v>596</v>
      </c>
      <c r="N460" s="7"/>
      <c r="O460" s="7"/>
    </row>
    <row r="461">
      <c r="A461" s="9" t="s">
        <v>9</v>
      </c>
      <c r="B461" s="21">
        <v>45677.0</v>
      </c>
      <c r="C461" s="9" t="s">
        <v>189</v>
      </c>
      <c r="D461" s="9" t="s">
        <v>449</v>
      </c>
      <c r="E461" s="15">
        <v>98.35</v>
      </c>
      <c r="F461" s="18" t="s">
        <v>35</v>
      </c>
      <c r="G461" s="9" t="s">
        <v>450</v>
      </c>
      <c r="H461" s="17" t="s">
        <v>608</v>
      </c>
      <c r="I461" s="14" t="s">
        <v>609</v>
      </c>
      <c r="N461" s="7"/>
      <c r="O461" s="7"/>
    </row>
    <row r="462">
      <c r="A462" s="9" t="s">
        <v>9</v>
      </c>
      <c r="B462" s="21">
        <v>45677.0</v>
      </c>
      <c r="C462" s="9" t="s">
        <v>92</v>
      </c>
      <c r="D462" s="9" t="s">
        <v>584</v>
      </c>
      <c r="E462" s="15">
        <v>102.11</v>
      </c>
      <c r="F462" s="18" t="s">
        <v>35</v>
      </c>
      <c r="G462" s="9" t="s">
        <v>585</v>
      </c>
      <c r="H462" s="17" t="s">
        <v>610</v>
      </c>
      <c r="I462" s="14" t="s">
        <v>611</v>
      </c>
      <c r="N462" s="7"/>
      <c r="O462" s="7"/>
    </row>
    <row r="463">
      <c r="A463" s="9" t="s">
        <v>9</v>
      </c>
      <c r="B463" s="21">
        <v>45679.0</v>
      </c>
      <c r="C463" s="9" t="s">
        <v>92</v>
      </c>
      <c r="D463" s="9" t="s">
        <v>590</v>
      </c>
      <c r="E463" s="15">
        <v>93.98</v>
      </c>
      <c r="F463" s="18" t="s">
        <v>612</v>
      </c>
      <c r="G463" s="9" t="s">
        <v>591</v>
      </c>
      <c r="H463" s="17" t="s">
        <v>613</v>
      </c>
      <c r="I463" s="14" t="s">
        <v>466</v>
      </c>
      <c r="N463" s="7"/>
      <c r="O463" s="7"/>
    </row>
    <row r="464">
      <c r="A464" s="9" t="s">
        <v>9</v>
      </c>
      <c r="B464" s="21">
        <v>45679.0</v>
      </c>
      <c r="C464" s="9" t="s">
        <v>92</v>
      </c>
      <c r="D464" s="9" t="s">
        <v>593</v>
      </c>
      <c r="E464" s="15">
        <v>97.74</v>
      </c>
      <c r="F464" s="18" t="s">
        <v>612</v>
      </c>
      <c r="G464" s="9" t="s">
        <v>594</v>
      </c>
      <c r="H464" s="17" t="s">
        <v>534</v>
      </c>
      <c r="I464" s="14" t="s">
        <v>614</v>
      </c>
      <c r="N464" s="7"/>
      <c r="O464" s="7"/>
    </row>
    <row r="465">
      <c r="A465" s="9" t="s">
        <v>9</v>
      </c>
      <c r="B465" s="21">
        <v>45679.0</v>
      </c>
      <c r="C465" s="9" t="s">
        <v>92</v>
      </c>
      <c r="D465" s="9" t="s">
        <v>597</v>
      </c>
      <c r="E465" s="15">
        <v>87.21</v>
      </c>
      <c r="F465" s="18" t="s">
        <v>612</v>
      </c>
      <c r="G465" s="9" t="s">
        <v>598</v>
      </c>
      <c r="H465" s="17" t="s">
        <v>534</v>
      </c>
      <c r="I465" s="14" t="s">
        <v>611</v>
      </c>
      <c r="N465" s="7"/>
      <c r="O465" s="7"/>
    </row>
    <row r="466">
      <c r="A466" s="9" t="s">
        <v>9</v>
      </c>
      <c r="B466" s="21">
        <v>45679.0</v>
      </c>
      <c r="C466" s="9" t="s">
        <v>92</v>
      </c>
      <c r="D466" s="9" t="s">
        <v>69</v>
      </c>
      <c r="E466" s="15">
        <v>110.65</v>
      </c>
      <c r="F466" s="18" t="s">
        <v>615</v>
      </c>
      <c r="G466" s="9" t="s">
        <v>69</v>
      </c>
      <c r="H466" s="17" t="s">
        <v>417</v>
      </c>
      <c r="I466" s="14" t="s">
        <v>616</v>
      </c>
      <c r="N466" s="7"/>
      <c r="O466" s="7"/>
    </row>
    <row r="467">
      <c r="A467" s="9" t="s">
        <v>9</v>
      </c>
      <c r="B467" s="21">
        <v>45681.0</v>
      </c>
      <c r="C467" s="9" t="s">
        <v>189</v>
      </c>
      <c r="D467" s="9" t="s">
        <v>600</v>
      </c>
      <c r="E467" s="15">
        <v>65.09</v>
      </c>
      <c r="F467" s="18" t="s">
        <v>24</v>
      </c>
      <c r="G467" s="9" t="s">
        <v>601</v>
      </c>
      <c r="H467" s="17" t="s">
        <v>534</v>
      </c>
      <c r="I467" s="14" t="s">
        <v>576</v>
      </c>
      <c r="N467" s="7"/>
      <c r="O467" s="7"/>
    </row>
    <row r="468">
      <c r="A468" s="9" t="s">
        <v>9</v>
      </c>
      <c r="B468" s="21">
        <v>45681.0</v>
      </c>
      <c r="C468" s="9" t="s">
        <v>189</v>
      </c>
      <c r="D468" s="9" t="s">
        <v>604</v>
      </c>
      <c r="E468" s="15">
        <v>88.37</v>
      </c>
      <c r="F468" s="18" t="s">
        <v>24</v>
      </c>
      <c r="G468" s="9" t="s">
        <v>605</v>
      </c>
      <c r="H468" s="17" t="s">
        <v>617</v>
      </c>
      <c r="I468" s="14" t="s">
        <v>618</v>
      </c>
      <c r="N468" s="7"/>
      <c r="O468" s="7"/>
    </row>
    <row r="469">
      <c r="A469" s="9" t="s">
        <v>9</v>
      </c>
      <c r="B469" s="21">
        <v>45684.0</v>
      </c>
      <c r="C469" s="9" t="s">
        <v>189</v>
      </c>
      <c r="D469" s="9" t="s">
        <v>580</v>
      </c>
      <c r="E469" s="15">
        <v>103.45</v>
      </c>
      <c r="F469" s="18" t="s">
        <v>41</v>
      </c>
      <c r="G469" s="9" t="s">
        <v>581</v>
      </c>
      <c r="H469" s="17" t="s">
        <v>619</v>
      </c>
      <c r="I469" s="14" t="s">
        <v>620</v>
      </c>
      <c r="N469" s="7"/>
      <c r="O469" s="7"/>
    </row>
    <row r="470">
      <c r="A470" s="9" t="s">
        <v>9</v>
      </c>
      <c r="B470" s="21">
        <v>45684.0</v>
      </c>
      <c r="C470" s="9" t="s">
        <v>92</v>
      </c>
      <c r="D470" s="9" t="s">
        <v>584</v>
      </c>
      <c r="E470" s="15">
        <v>91.09</v>
      </c>
      <c r="F470" s="18" t="s">
        <v>41</v>
      </c>
      <c r="G470" s="9" t="s">
        <v>585</v>
      </c>
      <c r="H470" s="17" t="s">
        <v>621</v>
      </c>
      <c r="I470" s="14" t="s">
        <v>622</v>
      </c>
      <c r="N470" s="7"/>
      <c r="O470" s="7"/>
    </row>
    <row r="471">
      <c r="A471" s="9" t="s">
        <v>9</v>
      </c>
      <c r="B471" s="21">
        <v>45684.0</v>
      </c>
      <c r="C471" s="9" t="s">
        <v>10</v>
      </c>
      <c r="D471" s="9" t="s">
        <v>11</v>
      </c>
      <c r="E471" s="15">
        <v>121.3</v>
      </c>
      <c r="F471" s="18" t="s">
        <v>422</v>
      </c>
      <c r="G471" s="9" t="s">
        <v>11</v>
      </c>
      <c r="H471" s="17" t="s">
        <v>623</v>
      </c>
      <c r="I471" s="14" t="s">
        <v>134</v>
      </c>
      <c r="N471" s="7"/>
      <c r="O471" s="7"/>
    </row>
    <row r="472">
      <c r="A472" s="9" t="s">
        <v>9</v>
      </c>
      <c r="B472" s="21">
        <v>45686.0</v>
      </c>
      <c r="C472" s="9" t="s">
        <v>92</v>
      </c>
      <c r="D472" s="9" t="s">
        <v>15</v>
      </c>
      <c r="E472" s="15">
        <v>101.84</v>
      </c>
      <c r="F472" s="18" t="s">
        <v>422</v>
      </c>
      <c r="G472" s="9" t="s">
        <v>15</v>
      </c>
      <c r="H472" s="17" t="s">
        <v>624</v>
      </c>
      <c r="I472" s="14" t="s">
        <v>576</v>
      </c>
      <c r="N472" s="7"/>
      <c r="O472" s="7"/>
    </row>
    <row r="473">
      <c r="A473" s="9" t="s">
        <v>9</v>
      </c>
      <c r="B473" s="21">
        <v>45686.0</v>
      </c>
      <c r="C473" s="9" t="s">
        <v>189</v>
      </c>
      <c r="D473" s="9" t="s">
        <v>590</v>
      </c>
      <c r="E473" s="15">
        <v>97.57</v>
      </c>
      <c r="F473" s="18" t="s">
        <v>53</v>
      </c>
      <c r="G473" s="9" t="s">
        <v>591</v>
      </c>
      <c r="H473" s="17" t="s">
        <v>625</v>
      </c>
      <c r="I473" s="14" t="s">
        <v>626</v>
      </c>
      <c r="N473" s="7"/>
      <c r="O473" s="7"/>
    </row>
    <row r="474">
      <c r="A474" s="9" t="s">
        <v>9</v>
      </c>
      <c r="B474" s="21">
        <v>45686.0</v>
      </c>
      <c r="C474" s="9" t="s">
        <v>10</v>
      </c>
      <c r="D474" s="9" t="s">
        <v>593</v>
      </c>
      <c r="E474" s="15">
        <v>241.22</v>
      </c>
      <c r="F474" s="18" t="s">
        <v>53</v>
      </c>
      <c r="G474" s="9" t="s">
        <v>594</v>
      </c>
      <c r="H474" s="17" t="s">
        <v>627</v>
      </c>
      <c r="I474" s="14" t="s">
        <v>628</v>
      </c>
      <c r="N474" s="7"/>
      <c r="O474" s="7"/>
    </row>
    <row r="475">
      <c r="A475" s="9" t="s">
        <v>9</v>
      </c>
      <c r="B475" s="21">
        <v>45687.0</v>
      </c>
      <c r="C475" s="9" t="s">
        <v>92</v>
      </c>
      <c r="D475" s="9" t="s">
        <v>597</v>
      </c>
      <c r="E475" s="15">
        <v>97.35</v>
      </c>
      <c r="F475" s="18" t="s">
        <v>79</v>
      </c>
      <c r="G475" s="9" t="s">
        <v>598</v>
      </c>
      <c r="H475" s="17" t="s">
        <v>546</v>
      </c>
      <c r="I475" s="14" t="s">
        <v>554</v>
      </c>
      <c r="N475" s="7"/>
      <c r="O475" s="7"/>
    </row>
    <row r="476">
      <c r="A476" s="9" t="s">
        <v>50</v>
      </c>
      <c r="B476" s="21">
        <v>45691.0</v>
      </c>
      <c r="C476" s="9" t="s">
        <v>189</v>
      </c>
      <c r="D476" s="9" t="s">
        <v>600</v>
      </c>
      <c r="E476" s="15">
        <v>102.45</v>
      </c>
      <c r="F476" s="18" t="s">
        <v>58</v>
      </c>
      <c r="G476" s="9" t="s">
        <v>601</v>
      </c>
      <c r="H476" s="17" t="s">
        <v>629</v>
      </c>
      <c r="I476" s="14" t="s">
        <v>630</v>
      </c>
      <c r="N476" s="7"/>
      <c r="O476" s="7"/>
    </row>
    <row r="477">
      <c r="A477" s="9" t="s">
        <v>50</v>
      </c>
      <c r="B477" s="21">
        <v>45691.0</v>
      </c>
      <c r="C477" s="9" t="s">
        <v>10</v>
      </c>
      <c r="D477" s="9" t="s">
        <v>604</v>
      </c>
      <c r="E477" s="15">
        <v>103.0</v>
      </c>
      <c r="F477" s="18" t="s">
        <v>58</v>
      </c>
      <c r="G477" s="9" t="s">
        <v>605</v>
      </c>
      <c r="H477" s="17" t="s">
        <v>631</v>
      </c>
      <c r="I477" s="14" t="s">
        <v>628</v>
      </c>
      <c r="N477" s="7"/>
      <c r="O477" s="7"/>
    </row>
    <row r="478">
      <c r="A478" s="9" t="s">
        <v>50</v>
      </c>
      <c r="B478" s="21">
        <v>45691.0</v>
      </c>
      <c r="C478" s="9" t="s">
        <v>92</v>
      </c>
      <c r="D478" s="9" t="s">
        <v>18</v>
      </c>
      <c r="E478" s="15">
        <v>216.23</v>
      </c>
      <c r="F478" s="18" t="s">
        <v>632</v>
      </c>
      <c r="G478" s="9" t="s">
        <v>18</v>
      </c>
      <c r="H478" s="17" t="s">
        <v>633</v>
      </c>
      <c r="I478" s="14" t="s">
        <v>134</v>
      </c>
      <c r="N478" s="7"/>
      <c r="O478" s="7"/>
    </row>
    <row r="479">
      <c r="A479" s="9" t="s">
        <v>50</v>
      </c>
      <c r="B479" s="21">
        <v>45695.0</v>
      </c>
      <c r="C479" s="9" t="s">
        <v>92</v>
      </c>
      <c r="D479" s="9" t="s">
        <v>580</v>
      </c>
      <c r="E479" s="15">
        <v>101.0</v>
      </c>
      <c r="F479" s="18" t="s">
        <v>58</v>
      </c>
      <c r="G479" s="9" t="s">
        <v>581</v>
      </c>
      <c r="H479" s="17" t="s">
        <v>634</v>
      </c>
      <c r="I479" s="14" t="s">
        <v>635</v>
      </c>
      <c r="N479" s="7"/>
      <c r="O479" s="7"/>
    </row>
    <row r="480">
      <c r="A480" s="9" t="s">
        <v>50</v>
      </c>
      <c r="B480" s="21">
        <v>45695.0</v>
      </c>
      <c r="C480" s="9" t="s">
        <v>189</v>
      </c>
      <c r="D480" s="9" t="s">
        <v>584</v>
      </c>
      <c r="E480" s="15">
        <v>100.56</v>
      </c>
      <c r="F480" s="18" t="s">
        <v>58</v>
      </c>
      <c r="G480" s="9" t="s">
        <v>585</v>
      </c>
      <c r="H480" s="17" t="s">
        <v>636</v>
      </c>
      <c r="I480" s="14" t="s">
        <v>554</v>
      </c>
      <c r="N480" s="7"/>
      <c r="O480" s="7"/>
    </row>
    <row r="481">
      <c r="A481" s="9" t="s">
        <v>50</v>
      </c>
      <c r="B481" s="21">
        <v>45695.0</v>
      </c>
      <c r="C481" s="9" t="s">
        <v>10</v>
      </c>
      <c r="D481" s="9" t="s">
        <v>48</v>
      </c>
      <c r="E481" s="15">
        <v>187.19</v>
      </c>
      <c r="F481" s="18" t="s">
        <v>637</v>
      </c>
      <c r="G481" s="9" t="s">
        <v>48</v>
      </c>
      <c r="H481" s="17" t="s">
        <v>638</v>
      </c>
      <c r="I481" s="14" t="s">
        <v>639</v>
      </c>
      <c r="N481" s="7"/>
      <c r="O481" s="7"/>
    </row>
    <row r="482">
      <c r="A482" s="9" t="s">
        <v>50</v>
      </c>
      <c r="B482" s="21">
        <v>45698.0</v>
      </c>
      <c r="C482" s="9" t="s">
        <v>189</v>
      </c>
      <c r="D482" s="9" t="s">
        <v>590</v>
      </c>
      <c r="E482" s="15">
        <v>110.0</v>
      </c>
      <c r="F482" s="18" t="s">
        <v>76</v>
      </c>
      <c r="G482" s="9" t="s">
        <v>591</v>
      </c>
      <c r="H482" s="17" t="s">
        <v>640</v>
      </c>
      <c r="I482" s="14" t="s">
        <v>641</v>
      </c>
      <c r="N482" s="7"/>
      <c r="O482" s="7"/>
    </row>
    <row r="483">
      <c r="A483" s="9" t="s">
        <v>50</v>
      </c>
      <c r="B483" s="21">
        <v>45698.0</v>
      </c>
      <c r="C483" s="9" t="s">
        <v>92</v>
      </c>
      <c r="D483" s="9" t="s">
        <v>593</v>
      </c>
      <c r="E483" s="15">
        <v>111.08</v>
      </c>
      <c r="F483" s="18" t="s">
        <v>76</v>
      </c>
      <c r="G483" s="9" t="s">
        <v>594</v>
      </c>
      <c r="H483" s="17" t="s">
        <v>642</v>
      </c>
      <c r="I483" s="14" t="s">
        <v>643</v>
      </c>
      <c r="N483" s="7"/>
      <c r="O483" s="7"/>
    </row>
    <row r="484">
      <c r="A484" s="9" t="s">
        <v>50</v>
      </c>
      <c r="B484" s="21">
        <v>45698.0</v>
      </c>
      <c r="C484" s="9" t="s">
        <v>10</v>
      </c>
      <c r="D484" s="9" t="s">
        <v>11</v>
      </c>
      <c r="E484" s="15">
        <v>243.48</v>
      </c>
      <c r="F484" s="18" t="s">
        <v>644</v>
      </c>
      <c r="G484" s="9" t="s">
        <v>11</v>
      </c>
      <c r="H484" s="17" t="s">
        <v>645</v>
      </c>
      <c r="I484" s="14" t="s">
        <v>134</v>
      </c>
      <c r="N484" s="7"/>
      <c r="O484" s="7"/>
    </row>
    <row r="485">
      <c r="A485" s="9" t="s">
        <v>9</v>
      </c>
      <c r="B485" s="21">
        <v>45705.0</v>
      </c>
      <c r="C485" s="9" t="s">
        <v>92</v>
      </c>
      <c r="D485" s="9" t="s">
        <v>15</v>
      </c>
      <c r="E485" s="15">
        <v>609.35</v>
      </c>
      <c r="F485" s="18" t="s">
        <v>40</v>
      </c>
      <c r="G485" s="9" t="s">
        <v>15</v>
      </c>
      <c r="H485" s="17" t="s">
        <v>646</v>
      </c>
      <c r="I485" s="14" t="s">
        <v>647</v>
      </c>
      <c r="N485" s="7"/>
      <c r="O485" s="7"/>
    </row>
    <row r="486">
      <c r="A486" s="9" t="s">
        <v>9</v>
      </c>
      <c r="B486" s="21">
        <v>45707.0</v>
      </c>
      <c r="C486" s="9" t="s">
        <v>92</v>
      </c>
      <c r="D486" s="9" t="s">
        <v>18</v>
      </c>
      <c r="E486" s="15">
        <v>158.57</v>
      </c>
      <c r="F486" s="18" t="s">
        <v>40</v>
      </c>
      <c r="G486" s="9" t="s">
        <v>18</v>
      </c>
      <c r="H486" s="17" t="s">
        <v>648</v>
      </c>
      <c r="I486" s="14" t="s">
        <v>649</v>
      </c>
      <c r="N486" s="7"/>
      <c r="O486" s="7"/>
    </row>
    <row r="487">
      <c r="A487" s="9" t="s">
        <v>9</v>
      </c>
      <c r="B487" s="21">
        <v>45707.0</v>
      </c>
      <c r="C487" s="9" t="s">
        <v>10</v>
      </c>
      <c r="D487" s="9" t="s">
        <v>597</v>
      </c>
      <c r="E487" s="15">
        <v>84.0</v>
      </c>
      <c r="F487" s="18" t="s">
        <v>89</v>
      </c>
      <c r="G487" s="9" t="s">
        <v>598</v>
      </c>
      <c r="H487" s="17" t="s">
        <v>650</v>
      </c>
      <c r="I487" s="14" t="s">
        <v>651</v>
      </c>
      <c r="N487" s="7"/>
      <c r="O487" s="7"/>
    </row>
    <row r="488">
      <c r="A488" s="9" t="s">
        <v>9</v>
      </c>
      <c r="B488" s="21">
        <v>45707.0</v>
      </c>
      <c r="C488" s="9" t="s">
        <v>189</v>
      </c>
      <c r="D488" s="9" t="s">
        <v>600</v>
      </c>
      <c r="E488" s="15">
        <v>60.56</v>
      </c>
      <c r="F488" s="18" t="s">
        <v>89</v>
      </c>
      <c r="G488" s="9" t="s">
        <v>601</v>
      </c>
      <c r="H488" s="17" t="s">
        <v>652</v>
      </c>
      <c r="I488" s="14" t="s">
        <v>653</v>
      </c>
      <c r="N488" s="7"/>
      <c r="O488" s="7"/>
    </row>
    <row r="489">
      <c r="A489" s="9" t="s">
        <v>9</v>
      </c>
      <c r="B489" s="21">
        <v>45712.0</v>
      </c>
      <c r="C489" s="9" t="s">
        <v>92</v>
      </c>
      <c r="D489" s="9" t="s">
        <v>48</v>
      </c>
      <c r="E489" s="15">
        <v>248.72</v>
      </c>
      <c r="F489" s="18" t="s">
        <v>41</v>
      </c>
      <c r="G489" s="9" t="s">
        <v>48</v>
      </c>
      <c r="H489" s="17" t="s">
        <v>654</v>
      </c>
      <c r="I489" s="14" t="s">
        <v>655</v>
      </c>
      <c r="N489" s="7"/>
      <c r="O489" s="7"/>
    </row>
    <row r="490">
      <c r="A490" s="9" t="s">
        <v>9</v>
      </c>
      <c r="B490" s="21">
        <v>45714.0</v>
      </c>
      <c r="C490" s="9" t="s">
        <v>92</v>
      </c>
      <c r="D490" s="9" t="s">
        <v>11</v>
      </c>
      <c r="E490" s="15">
        <v>318.51</v>
      </c>
      <c r="F490" s="18" t="s">
        <v>79</v>
      </c>
      <c r="G490" s="9" t="s">
        <v>11</v>
      </c>
      <c r="H490" s="17" t="s">
        <v>656</v>
      </c>
      <c r="I490" s="14" t="s">
        <v>647</v>
      </c>
      <c r="N490" s="7"/>
      <c r="O490" s="7"/>
    </row>
    <row r="491">
      <c r="A491" s="9" t="s">
        <v>9</v>
      </c>
      <c r="B491" s="21">
        <v>45722.0</v>
      </c>
      <c r="C491" s="9" t="s">
        <v>92</v>
      </c>
      <c r="D491" s="9" t="s">
        <v>15</v>
      </c>
      <c r="E491" s="15">
        <v>402.35</v>
      </c>
      <c r="F491" s="18" t="s">
        <v>61</v>
      </c>
      <c r="G491" s="9" t="s">
        <v>15</v>
      </c>
      <c r="H491" s="17" t="s">
        <v>294</v>
      </c>
      <c r="I491" s="14" t="s">
        <v>657</v>
      </c>
      <c r="N491" s="7"/>
      <c r="O491" s="7"/>
    </row>
    <row r="492">
      <c r="A492" s="9" t="s">
        <v>9</v>
      </c>
      <c r="B492" s="21">
        <v>45722.0</v>
      </c>
      <c r="C492" s="9" t="s">
        <v>10</v>
      </c>
      <c r="D492" s="9" t="s">
        <v>15</v>
      </c>
      <c r="E492" s="15">
        <v>238.4</v>
      </c>
      <c r="F492" s="18" t="s">
        <v>61</v>
      </c>
      <c r="G492" s="9" t="s">
        <v>15</v>
      </c>
      <c r="H492" s="17" t="s">
        <v>473</v>
      </c>
      <c r="I492" s="14" t="s">
        <v>134</v>
      </c>
      <c r="N492" s="7"/>
      <c r="O492" s="7"/>
    </row>
    <row r="493">
      <c r="A493" s="9" t="s">
        <v>9</v>
      </c>
      <c r="B493" s="21">
        <v>45722.0</v>
      </c>
      <c r="C493" s="9" t="s">
        <v>189</v>
      </c>
      <c r="D493" s="9" t="s">
        <v>15</v>
      </c>
      <c r="E493" s="15">
        <v>79.2</v>
      </c>
      <c r="F493" s="18" t="s">
        <v>61</v>
      </c>
      <c r="G493" s="9" t="s">
        <v>15</v>
      </c>
      <c r="H493" s="17" t="s">
        <v>405</v>
      </c>
      <c r="I493" s="14" t="s">
        <v>322</v>
      </c>
      <c r="N493" s="7"/>
      <c r="O493" s="7"/>
    </row>
    <row r="494">
      <c r="A494" s="9" t="s">
        <v>9</v>
      </c>
      <c r="B494" s="21">
        <v>45728.0</v>
      </c>
      <c r="C494" s="9" t="s">
        <v>10</v>
      </c>
      <c r="D494" s="9" t="s">
        <v>18</v>
      </c>
      <c r="E494" s="15">
        <v>327.23</v>
      </c>
      <c r="F494" s="18" t="s">
        <v>58</v>
      </c>
      <c r="G494" s="9" t="s">
        <v>18</v>
      </c>
      <c r="H494" s="17" t="s">
        <v>658</v>
      </c>
      <c r="I494" s="14" t="s">
        <v>659</v>
      </c>
      <c r="N494" s="7"/>
      <c r="O494" s="7"/>
    </row>
    <row r="495">
      <c r="A495" s="9" t="s">
        <v>9</v>
      </c>
      <c r="B495" s="21">
        <v>45735.0</v>
      </c>
      <c r="C495" s="9" t="s">
        <v>10</v>
      </c>
      <c r="D495" s="9" t="s">
        <v>48</v>
      </c>
      <c r="E495" s="15">
        <v>243.0</v>
      </c>
      <c r="F495" s="18" t="s">
        <v>142</v>
      </c>
      <c r="G495" s="9" t="s">
        <v>48</v>
      </c>
      <c r="H495" s="17" t="s">
        <v>440</v>
      </c>
      <c r="I495" s="14" t="s">
        <v>134</v>
      </c>
      <c r="N495" s="7"/>
      <c r="O495" s="7"/>
    </row>
    <row r="496">
      <c r="A496" s="9" t="s">
        <v>9</v>
      </c>
      <c r="B496" s="21">
        <v>45735.0</v>
      </c>
      <c r="C496" s="9" t="s">
        <v>189</v>
      </c>
      <c r="D496" s="9" t="s">
        <v>48</v>
      </c>
      <c r="E496" s="15">
        <v>89.0</v>
      </c>
      <c r="F496" s="18" t="s">
        <v>142</v>
      </c>
      <c r="G496" s="9" t="s">
        <v>48</v>
      </c>
      <c r="H496" s="17" t="s">
        <v>382</v>
      </c>
      <c r="I496" s="14" t="s">
        <v>128</v>
      </c>
      <c r="N496" s="7"/>
      <c r="O496" s="7"/>
    </row>
    <row r="497">
      <c r="A497" s="9" t="s">
        <v>9</v>
      </c>
      <c r="B497" s="21">
        <v>45743.0</v>
      </c>
      <c r="C497" s="9" t="s">
        <v>10</v>
      </c>
      <c r="D497" s="9" t="s">
        <v>11</v>
      </c>
      <c r="E497" s="15">
        <v>284.93</v>
      </c>
      <c r="F497" s="18" t="s">
        <v>142</v>
      </c>
      <c r="G497" s="9" t="s">
        <v>11</v>
      </c>
      <c r="H497" s="17" t="s">
        <v>442</v>
      </c>
      <c r="I497" s="14" t="s">
        <v>134</v>
      </c>
      <c r="N497" s="7"/>
      <c r="O497" s="7"/>
    </row>
    <row r="498">
      <c r="A498" s="9" t="s">
        <v>9</v>
      </c>
      <c r="B498" s="21">
        <v>45743.0</v>
      </c>
      <c r="C498" s="9" t="s">
        <v>189</v>
      </c>
      <c r="D498" s="9" t="s">
        <v>11</v>
      </c>
      <c r="E498" s="15">
        <v>180.08</v>
      </c>
      <c r="F498" s="18" t="s">
        <v>142</v>
      </c>
      <c r="G498" s="9" t="s">
        <v>11</v>
      </c>
      <c r="H498" s="17" t="s">
        <v>660</v>
      </c>
      <c r="I498" s="14" t="s">
        <v>122</v>
      </c>
      <c r="N498" s="7"/>
      <c r="O498" s="7"/>
    </row>
    <row r="499">
      <c r="A499" s="9" t="s">
        <v>50</v>
      </c>
      <c r="B499" s="21">
        <v>45754.0</v>
      </c>
      <c r="C499" s="9" t="s">
        <v>10</v>
      </c>
      <c r="D499" s="9" t="s">
        <v>15</v>
      </c>
      <c r="E499" s="15">
        <v>141.85</v>
      </c>
      <c r="F499" s="18" t="s">
        <v>171</v>
      </c>
      <c r="G499" s="9" t="s">
        <v>15</v>
      </c>
      <c r="H499" s="17" t="s">
        <v>433</v>
      </c>
      <c r="I499" s="14" t="s">
        <v>134</v>
      </c>
      <c r="N499" s="7"/>
      <c r="O499" s="7"/>
    </row>
    <row r="500">
      <c r="A500" s="9" t="s">
        <v>50</v>
      </c>
      <c r="B500" s="21">
        <v>45754.0</v>
      </c>
      <c r="C500" s="9" t="s">
        <v>189</v>
      </c>
      <c r="D500" s="9" t="s">
        <v>15</v>
      </c>
      <c r="E500" s="15">
        <v>192.42</v>
      </c>
      <c r="F500" s="18" t="s">
        <v>171</v>
      </c>
      <c r="G500" s="9" t="s">
        <v>15</v>
      </c>
      <c r="H500" s="17" t="s">
        <v>660</v>
      </c>
      <c r="I500" s="14" t="s">
        <v>122</v>
      </c>
      <c r="N500" s="7"/>
      <c r="O500" s="7"/>
    </row>
    <row r="501">
      <c r="A501" s="9" t="s">
        <v>47</v>
      </c>
      <c r="B501" s="21">
        <v>45758.0</v>
      </c>
      <c r="C501" s="9" t="s">
        <v>10</v>
      </c>
      <c r="D501" s="9" t="s">
        <v>18</v>
      </c>
      <c r="E501" s="15">
        <v>172.1</v>
      </c>
      <c r="F501" s="18" t="s">
        <v>179</v>
      </c>
      <c r="G501" s="9" t="s">
        <v>18</v>
      </c>
      <c r="H501" s="17" t="s">
        <v>440</v>
      </c>
      <c r="I501" s="14" t="s">
        <v>134</v>
      </c>
      <c r="N501" s="7"/>
      <c r="O501" s="7"/>
    </row>
    <row r="502">
      <c r="A502" s="9" t="s">
        <v>9</v>
      </c>
      <c r="B502" s="21">
        <v>45769.0</v>
      </c>
      <c r="C502" s="9" t="s">
        <v>10</v>
      </c>
      <c r="D502" s="9" t="s">
        <v>48</v>
      </c>
      <c r="E502" s="15">
        <v>535.76</v>
      </c>
      <c r="F502" s="18" t="s">
        <v>179</v>
      </c>
      <c r="G502" s="9" t="s">
        <v>48</v>
      </c>
      <c r="H502" s="17" t="s">
        <v>661</v>
      </c>
      <c r="I502" s="14" t="s">
        <v>134</v>
      </c>
      <c r="N502" s="7"/>
      <c r="O502" s="7"/>
    </row>
    <row r="503">
      <c r="A503" s="9" t="s">
        <v>9</v>
      </c>
      <c r="B503" s="21">
        <v>45769.0</v>
      </c>
      <c r="C503" s="9" t="s">
        <v>189</v>
      </c>
      <c r="D503" s="9" t="s">
        <v>48</v>
      </c>
      <c r="E503" s="15">
        <v>110.1</v>
      </c>
      <c r="F503" s="18" t="s">
        <v>179</v>
      </c>
      <c r="G503" s="9" t="s">
        <v>48</v>
      </c>
      <c r="H503" s="17" t="s">
        <v>418</v>
      </c>
      <c r="I503" s="14" t="s">
        <v>122</v>
      </c>
      <c r="N503" s="7"/>
      <c r="O503" s="7"/>
    </row>
    <row r="504">
      <c r="A504" s="9" t="s">
        <v>47</v>
      </c>
      <c r="B504" s="21">
        <v>45772.0</v>
      </c>
      <c r="C504" s="9" t="s">
        <v>10</v>
      </c>
      <c r="D504" s="9" t="s">
        <v>593</v>
      </c>
      <c r="E504" s="15">
        <v>80.0</v>
      </c>
      <c r="F504" s="18" t="s">
        <v>632</v>
      </c>
      <c r="G504" s="9" t="s">
        <v>594</v>
      </c>
      <c r="H504" s="17" t="s">
        <v>133</v>
      </c>
      <c r="I504" s="14" t="s">
        <v>134</v>
      </c>
      <c r="N504" s="7"/>
      <c r="O504" s="7"/>
    </row>
    <row r="505">
      <c r="A505" s="9" t="s">
        <v>9</v>
      </c>
      <c r="B505" s="21">
        <v>45782.0</v>
      </c>
      <c r="C505" s="9" t="s">
        <v>10</v>
      </c>
      <c r="D505" s="9" t="s">
        <v>11</v>
      </c>
      <c r="E505" s="15">
        <v>355.0</v>
      </c>
      <c r="F505" s="18" t="s">
        <v>269</v>
      </c>
      <c r="G505" s="9" t="s">
        <v>11</v>
      </c>
      <c r="H505" s="17" t="s">
        <v>662</v>
      </c>
      <c r="I505" s="14" t="s">
        <v>134</v>
      </c>
      <c r="N505" s="7"/>
      <c r="O505" s="7"/>
    </row>
    <row r="506">
      <c r="A506" s="9" t="s">
        <v>50</v>
      </c>
      <c r="B506" s="21">
        <v>45786.0</v>
      </c>
      <c r="C506" s="9" t="s">
        <v>10</v>
      </c>
      <c r="D506" s="9" t="s">
        <v>597</v>
      </c>
      <c r="E506" s="15">
        <v>110.35</v>
      </c>
      <c r="F506" s="18" t="s">
        <v>663</v>
      </c>
      <c r="G506" s="9" t="s">
        <v>598</v>
      </c>
      <c r="H506" s="17" t="s">
        <v>664</v>
      </c>
      <c r="I506" s="14" t="s">
        <v>134</v>
      </c>
      <c r="N506" s="7"/>
      <c r="O506" s="7"/>
    </row>
    <row r="507">
      <c r="A507" s="9" t="s">
        <v>50</v>
      </c>
      <c r="B507" s="21">
        <v>45786.0</v>
      </c>
      <c r="C507" s="9" t="s">
        <v>189</v>
      </c>
      <c r="D507" s="9" t="s">
        <v>600</v>
      </c>
      <c r="E507" s="15">
        <v>88.65</v>
      </c>
      <c r="F507" s="18" t="s">
        <v>665</v>
      </c>
      <c r="G507" s="9" t="s">
        <v>601</v>
      </c>
      <c r="H507" s="17" t="s">
        <v>168</v>
      </c>
      <c r="I507" s="14" t="s">
        <v>666</v>
      </c>
      <c r="N507" s="7"/>
      <c r="O507" s="7"/>
    </row>
    <row r="508">
      <c r="A508" s="9" t="s">
        <v>50</v>
      </c>
      <c r="B508" s="21">
        <v>45786.0</v>
      </c>
      <c r="C508" s="9" t="s">
        <v>10</v>
      </c>
      <c r="D508" s="9" t="s">
        <v>604</v>
      </c>
      <c r="E508" s="15">
        <v>116.02</v>
      </c>
      <c r="F508" s="18" t="s">
        <v>637</v>
      </c>
      <c r="G508" s="9" t="s">
        <v>605</v>
      </c>
      <c r="H508" s="17" t="s">
        <v>168</v>
      </c>
      <c r="I508" s="14" t="s">
        <v>134</v>
      </c>
      <c r="N508" s="7"/>
      <c r="O508" s="7"/>
    </row>
    <row r="509">
      <c r="A509" s="9" t="s">
        <v>9</v>
      </c>
      <c r="B509" s="21">
        <v>45789.0</v>
      </c>
      <c r="C509" s="9" t="s">
        <v>189</v>
      </c>
      <c r="D509" s="9" t="s">
        <v>580</v>
      </c>
      <c r="E509" s="15">
        <v>36.3</v>
      </c>
      <c r="F509" s="18" t="s">
        <v>663</v>
      </c>
      <c r="G509" s="9" t="s">
        <v>581</v>
      </c>
      <c r="H509" s="17" t="s">
        <v>133</v>
      </c>
      <c r="I509" s="14" t="s">
        <v>122</v>
      </c>
      <c r="N509" s="7"/>
      <c r="O509" s="7"/>
    </row>
    <row r="510">
      <c r="A510" s="9" t="s">
        <v>9</v>
      </c>
      <c r="B510" s="21">
        <v>45793.0</v>
      </c>
      <c r="C510" s="9" t="s">
        <v>10</v>
      </c>
      <c r="D510" s="9" t="s">
        <v>15</v>
      </c>
      <c r="E510" s="15">
        <v>358.78</v>
      </c>
      <c r="F510" s="18" t="s">
        <v>269</v>
      </c>
      <c r="G510" s="9" t="s">
        <v>15</v>
      </c>
      <c r="H510" s="17" t="s">
        <v>667</v>
      </c>
      <c r="I510" s="14" t="s">
        <v>134</v>
      </c>
      <c r="N510" s="7"/>
      <c r="O510" s="7"/>
    </row>
    <row r="511">
      <c r="A511" s="9" t="s">
        <v>9</v>
      </c>
      <c r="B511" s="21">
        <v>45797.0</v>
      </c>
      <c r="C511" s="9" t="s">
        <v>10</v>
      </c>
      <c r="D511" s="9" t="s">
        <v>18</v>
      </c>
      <c r="E511" s="15">
        <v>220.12</v>
      </c>
      <c r="F511" s="18" t="s">
        <v>269</v>
      </c>
      <c r="G511" s="9" t="s">
        <v>18</v>
      </c>
      <c r="H511" s="17" t="s">
        <v>668</v>
      </c>
      <c r="I511" s="14" t="s">
        <v>134</v>
      </c>
      <c r="N511" s="7"/>
      <c r="O511" s="7"/>
    </row>
    <row r="512">
      <c r="A512" s="9" t="s">
        <v>9</v>
      </c>
      <c r="B512" s="21">
        <v>45800.0</v>
      </c>
      <c r="C512" s="9" t="s">
        <v>10</v>
      </c>
      <c r="D512" s="9" t="s">
        <v>48</v>
      </c>
      <c r="E512" s="15">
        <v>846.45</v>
      </c>
      <c r="F512" s="18" t="s">
        <v>269</v>
      </c>
      <c r="G512" s="9" t="s">
        <v>48</v>
      </c>
      <c r="H512" s="17" t="s">
        <v>669</v>
      </c>
      <c r="I512" s="14" t="s">
        <v>134</v>
      </c>
      <c r="N512" s="7"/>
      <c r="O512" s="7"/>
    </row>
    <row r="513">
      <c r="A513" s="9" t="s">
        <v>9</v>
      </c>
      <c r="B513" s="21">
        <v>45804.0</v>
      </c>
      <c r="C513" s="9" t="s">
        <v>10</v>
      </c>
      <c r="D513" s="9" t="s">
        <v>11</v>
      </c>
      <c r="E513" s="15">
        <v>216.23</v>
      </c>
      <c r="F513" s="18" t="s">
        <v>269</v>
      </c>
      <c r="G513" s="9" t="s">
        <v>11</v>
      </c>
      <c r="H513" s="17" t="s">
        <v>549</v>
      </c>
      <c r="I513" s="14" t="s">
        <v>134</v>
      </c>
      <c r="N513" s="7"/>
      <c r="O513" s="7"/>
    </row>
    <row r="514">
      <c r="A514" s="9" t="s">
        <v>9</v>
      </c>
      <c r="B514" s="21">
        <v>45807.0</v>
      </c>
      <c r="C514" s="9" t="s">
        <v>10</v>
      </c>
      <c r="D514" s="9" t="s">
        <v>15</v>
      </c>
      <c r="E514" s="15">
        <v>300.12</v>
      </c>
      <c r="F514" s="18" t="s">
        <v>269</v>
      </c>
      <c r="G514" s="9" t="s">
        <v>15</v>
      </c>
      <c r="H514" s="17" t="s">
        <v>668</v>
      </c>
      <c r="I514" s="14" t="s">
        <v>134</v>
      </c>
      <c r="N514" s="7"/>
      <c r="O514" s="7"/>
    </row>
    <row r="515">
      <c r="A515" s="9" t="s">
        <v>9</v>
      </c>
      <c r="B515" s="21">
        <v>45811.0</v>
      </c>
      <c r="C515" s="9" t="s">
        <v>10</v>
      </c>
      <c r="D515" s="9" t="s">
        <v>18</v>
      </c>
      <c r="E515" s="15">
        <v>285.36</v>
      </c>
      <c r="F515" s="18" t="s">
        <v>291</v>
      </c>
      <c r="G515" s="9" t="s">
        <v>18</v>
      </c>
      <c r="H515" s="17" t="s">
        <v>549</v>
      </c>
      <c r="I515" s="14" t="s">
        <v>134</v>
      </c>
      <c r="N515" s="7"/>
      <c r="O515" s="7"/>
    </row>
    <row r="516">
      <c r="A516" s="9" t="s">
        <v>9</v>
      </c>
      <c r="B516" s="21">
        <v>45814.0</v>
      </c>
      <c r="C516" s="9" t="s">
        <v>10</v>
      </c>
      <c r="D516" s="9" t="s">
        <v>48</v>
      </c>
      <c r="E516" s="15">
        <v>312.56</v>
      </c>
      <c r="F516" s="18" t="s">
        <v>291</v>
      </c>
      <c r="G516" s="9" t="s">
        <v>48</v>
      </c>
      <c r="H516" s="17" t="s">
        <v>668</v>
      </c>
      <c r="I516" s="14" t="s">
        <v>134</v>
      </c>
      <c r="N516" s="7"/>
      <c r="O516" s="7"/>
    </row>
    <row r="517">
      <c r="A517" s="9" t="s">
        <v>9</v>
      </c>
      <c r="B517" s="21">
        <v>45819.0</v>
      </c>
      <c r="C517" s="9" t="s">
        <v>10</v>
      </c>
      <c r="D517" s="9" t="s">
        <v>11</v>
      </c>
      <c r="E517" s="15">
        <v>263.0</v>
      </c>
      <c r="F517" s="18" t="s">
        <v>291</v>
      </c>
      <c r="G517" s="9" t="s">
        <v>11</v>
      </c>
      <c r="H517" s="17" t="s">
        <v>549</v>
      </c>
      <c r="I517" s="14" t="s">
        <v>134</v>
      </c>
      <c r="N517" s="7"/>
      <c r="O517" s="7"/>
    </row>
    <row r="518">
      <c r="A518" s="9" t="s">
        <v>9</v>
      </c>
      <c r="B518" s="21">
        <v>45819.0</v>
      </c>
      <c r="C518" s="9" t="s">
        <v>189</v>
      </c>
      <c r="D518" s="9" t="s">
        <v>11</v>
      </c>
      <c r="E518" s="15">
        <v>26.85</v>
      </c>
      <c r="F518" s="18" t="s">
        <v>291</v>
      </c>
      <c r="G518" s="9" t="s">
        <v>11</v>
      </c>
      <c r="H518" s="17" t="s">
        <v>133</v>
      </c>
      <c r="I518" s="14" t="s">
        <v>122</v>
      </c>
      <c r="N518" s="7"/>
      <c r="O518" s="7"/>
    </row>
    <row r="519">
      <c r="A519" s="9" t="s">
        <v>9</v>
      </c>
      <c r="B519" s="21">
        <v>45826.0</v>
      </c>
      <c r="C519" s="9" t="s">
        <v>189</v>
      </c>
      <c r="D519" s="9" t="s">
        <v>15</v>
      </c>
      <c r="E519" s="15">
        <v>98.02</v>
      </c>
      <c r="F519" s="18" t="s">
        <v>291</v>
      </c>
      <c r="G519" s="9" t="s">
        <v>15</v>
      </c>
      <c r="H519" s="17" t="s">
        <v>436</v>
      </c>
      <c r="I519" s="14" t="s">
        <v>122</v>
      </c>
      <c r="N519" s="7"/>
      <c r="O519" s="7"/>
    </row>
    <row r="520">
      <c r="A520" s="9" t="s">
        <v>9</v>
      </c>
      <c r="B520" s="21">
        <v>45826.0</v>
      </c>
      <c r="C520" s="9" t="s">
        <v>10</v>
      </c>
      <c r="D520" s="9" t="s">
        <v>18</v>
      </c>
      <c r="E520" s="15">
        <v>286.32</v>
      </c>
      <c r="F520" s="18" t="s">
        <v>291</v>
      </c>
      <c r="G520" s="9" t="s">
        <v>18</v>
      </c>
      <c r="H520" s="17" t="s">
        <v>435</v>
      </c>
      <c r="I520" s="14" t="s">
        <v>134</v>
      </c>
      <c r="N520" s="7"/>
      <c r="O520" s="7"/>
    </row>
    <row r="521">
      <c r="A521" s="9" t="s">
        <v>9</v>
      </c>
      <c r="B521" s="21">
        <v>45831.0</v>
      </c>
      <c r="C521" s="9" t="s">
        <v>10</v>
      </c>
      <c r="D521" s="9" t="s">
        <v>48</v>
      </c>
      <c r="E521" s="15">
        <v>638.19</v>
      </c>
      <c r="F521" s="18" t="s">
        <v>291</v>
      </c>
      <c r="G521" s="9" t="s">
        <v>48</v>
      </c>
      <c r="H521" s="17" t="s">
        <v>670</v>
      </c>
      <c r="I521" s="14" t="s">
        <v>134</v>
      </c>
      <c r="N521" s="7"/>
      <c r="O521" s="7"/>
    </row>
    <row r="522">
      <c r="A522" s="9" t="s">
        <v>50</v>
      </c>
      <c r="B522" s="21">
        <v>45834.0</v>
      </c>
      <c r="C522" s="9" t="s">
        <v>10</v>
      </c>
      <c r="D522" s="9" t="s">
        <v>11</v>
      </c>
      <c r="E522" s="15">
        <v>292.15</v>
      </c>
      <c r="F522" s="18" t="s">
        <v>671</v>
      </c>
      <c r="G522" s="9" t="s">
        <v>11</v>
      </c>
      <c r="H522" s="17" t="s">
        <v>667</v>
      </c>
      <c r="I522" s="14" t="s">
        <v>134</v>
      </c>
      <c r="N522" s="7"/>
      <c r="O522" s="7"/>
    </row>
    <row r="523">
      <c r="A523" s="9" t="s">
        <v>9</v>
      </c>
      <c r="B523" s="21">
        <v>45838.0</v>
      </c>
      <c r="C523" s="9" t="s">
        <v>10</v>
      </c>
      <c r="D523" s="9" t="s">
        <v>15</v>
      </c>
      <c r="E523" s="15">
        <v>458.71</v>
      </c>
      <c r="F523" s="18" t="s">
        <v>672</v>
      </c>
      <c r="G523" s="18" t="s">
        <v>672</v>
      </c>
      <c r="H523" s="17" t="s">
        <v>662</v>
      </c>
      <c r="I523" s="14" t="s">
        <v>134</v>
      </c>
      <c r="N523" s="7"/>
      <c r="O523" s="7"/>
    </row>
    <row r="524">
      <c r="A524" s="9" t="s">
        <v>9</v>
      </c>
      <c r="B524" s="21">
        <v>45841.0</v>
      </c>
      <c r="C524" s="9" t="s">
        <v>92</v>
      </c>
      <c r="D524" s="9" t="s">
        <v>584</v>
      </c>
      <c r="E524" s="15">
        <v>16.45</v>
      </c>
      <c r="F524" s="18" t="s">
        <v>291</v>
      </c>
      <c r="G524" s="9" t="s">
        <v>585</v>
      </c>
      <c r="H524" s="17" t="s">
        <v>673</v>
      </c>
      <c r="I524" s="14" t="s">
        <v>134</v>
      </c>
      <c r="N524" s="7"/>
      <c r="O524" s="7"/>
    </row>
    <row r="525">
      <c r="A525" s="9" t="s">
        <v>9</v>
      </c>
      <c r="B525" s="21">
        <v>45841.0</v>
      </c>
      <c r="C525" s="9" t="s">
        <v>10</v>
      </c>
      <c r="D525" s="9" t="s">
        <v>18</v>
      </c>
      <c r="E525" s="15">
        <v>452.35</v>
      </c>
      <c r="F525" s="18" t="s">
        <v>291</v>
      </c>
      <c r="G525" s="9" t="s">
        <v>18</v>
      </c>
      <c r="H525" s="17" t="s">
        <v>674</v>
      </c>
      <c r="I525" s="14" t="s">
        <v>134</v>
      </c>
      <c r="N525" s="7"/>
      <c r="O525" s="7"/>
    </row>
    <row r="526">
      <c r="A526" s="9" t="s">
        <v>9</v>
      </c>
      <c r="B526" s="21">
        <v>45847.0</v>
      </c>
      <c r="C526" s="9" t="s">
        <v>92</v>
      </c>
      <c r="D526" s="9" t="s">
        <v>590</v>
      </c>
      <c r="E526" s="15">
        <v>128.07</v>
      </c>
      <c r="F526" s="18" t="s">
        <v>291</v>
      </c>
      <c r="G526" s="9" t="s">
        <v>594</v>
      </c>
      <c r="H526" s="17" t="s">
        <v>130</v>
      </c>
      <c r="I526" s="14" t="s">
        <v>134</v>
      </c>
      <c r="N526" s="7"/>
      <c r="O526" s="7"/>
    </row>
    <row r="527">
      <c r="A527" s="9" t="s">
        <v>50</v>
      </c>
      <c r="B527" s="21">
        <v>45847.0</v>
      </c>
      <c r="C527" s="9" t="s">
        <v>10</v>
      </c>
      <c r="D527" s="9" t="s">
        <v>48</v>
      </c>
      <c r="E527" s="15">
        <v>306.65</v>
      </c>
      <c r="F527" s="18" t="s">
        <v>675</v>
      </c>
      <c r="G527" s="9" t="s">
        <v>48</v>
      </c>
      <c r="H527" s="17" t="s">
        <v>676</v>
      </c>
      <c r="I527" s="14" t="s">
        <v>134</v>
      </c>
      <c r="N527" s="7"/>
      <c r="O527" s="7"/>
    </row>
    <row r="528">
      <c r="A528" s="9" t="s">
        <v>50</v>
      </c>
      <c r="B528" s="21">
        <v>45849.0</v>
      </c>
      <c r="C528" s="9" t="s">
        <v>92</v>
      </c>
      <c r="D528" s="9" t="s">
        <v>593</v>
      </c>
      <c r="E528" s="15">
        <v>102.32</v>
      </c>
      <c r="F528" s="18" t="s">
        <v>291</v>
      </c>
      <c r="G528" s="9" t="s">
        <v>594</v>
      </c>
      <c r="H528" s="17" t="s">
        <v>168</v>
      </c>
      <c r="I528" s="14" t="s">
        <v>134</v>
      </c>
      <c r="N528" s="7"/>
      <c r="O528" s="7"/>
    </row>
    <row r="529">
      <c r="A529" s="9" t="s">
        <v>50</v>
      </c>
      <c r="B529" s="21">
        <v>45849.0</v>
      </c>
      <c r="C529" s="9" t="s">
        <v>189</v>
      </c>
      <c r="D529" s="9" t="s">
        <v>597</v>
      </c>
      <c r="E529" s="15">
        <v>45.78</v>
      </c>
      <c r="F529" s="18" t="s">
        <v>291</v>
      </c>
      <c r="G529" s="9" t="s">
        <v>598</v>
      </c>
      <c r="H529" s="17" t="s">
        <v>133</v>
      </c>
      <c r="I529" s="14" t="s">
        <v>134</v>
      </c>
      <c r="N529" s="7"/>
      <c r="O529" s="7"/>
    </row>
    <row r="530">
      <c r="A530" s="9" t="s">
        <v>50</v>
      </c>
      <c r="B530" s="21">
        <v>45849.0</v>
      </c>
      <c r="C530" s="9" t="s">
        <v>10</v>
      </c>
      <c r="D530" s="9" t="s">
        <v>600</v>
      </c>
      <c r="E530" s="15">
        <v>125.36</v>
      </c>
      <c r="F530" s="18" t="s">
        <v>677</v>
      </c>
      <c r="G530" s="9" t="s">
        <v>601</v>
      </c>
      <c r="H530" s="17" t="s">
        <v>168</v>
      </c>
      <c r="I530" s="14" t="s">
        <v>134</v>
      </c>
      <c r="N530" s="7"/>
      <c r="O530" s="7"/>
    </row>
    <row r="531">
      <c r="A531" s="9" t="s">
        <v>47</v>
      </c>
      <c r="B531" s="21">
        <v>45853.0</v>
      </c>
      <c r="C531" s="9" t="s">
        <v>92</v>
      </c>
      <c r="D531" s="9" t="s">
        <v>580</v>
      </c>
      <c r="E531" s="15">
        <v>90.0</v>
      </c>
      <c r="F531" s="18" t="s">
        <v>677</v>
      </c>
      <c r="G531" s="9" t="s">
        <v>581</v>
      </c>
      <c r="H531" s="17" t="s">
        <v>436</v>
      </c>
      <c r="I531" s="14" t="s">
        <v>134</v>
      </c>
      <c r="N531" s="7"/>
      <c r="O531" s="7"/>
    </row>
    <row r="532">
      <c r="A532" s="9" t="s">
        <v>47</v>
      </c>
      <c r="B532" s="21">
        <v>45853.0</v>
      </c>
      <c r="C532" s="9" t="s">
        <v>10</v>
      </c>
      <c r="D532" s="9" t="s">
        <v>584</v>
      </c>
      <c r="E532" s="15">
        <v>203.74</v>
      </c>
      <c r="F532" s="18" t="s">
        <v>677</v>
      </c>
      <c r="G532" s="9" t="s">
        <v>585</v>
      </c>
      <c r="H532" s="17" t="s">
        <v>130</v>
      </c>
      <c r="I532" s="14" t="s">
        <v>134</v>
      </c>
      <c r="N532" s="7"/>
      <c r="O532" s="7"/>
    </row>
    <row r="533">
      <c r="A533" s="9" t="s">
        <v>9</v>
      </c>
      <c r="B533" s="21">
        <v>45856.0</v>
      </c>
      <c r="C533" s="9" t="s">
        <v>92</v>
      </c>
      <c r="D533" s="9" t="s">
        <v>590</v>
      </c>
      <c r="E533" s="15">
        <v>129.67</v>
      </c>
      <c r="F533" s="18" t="s">
        <v>677</v>
      </c>
      <c r="G533" s="9" t="s">
        <v>591</v>
      </c>
      <c r="H533" s="17" t="s">
        <v>664</v>
      </c>
      <c r="I533" s="14" t="s">
        <v>134</v>
      </c>
      <c r="N533" s="7"/>
      <c r="O533" s="7"/>
    </row>
    <row r="534">
      <c r="A534" s="9" t="s">
        <v>9</v>
      </c>
      <c r="B534" s="21">
        <v>45856.0</v>
      </c>
      <c r="C534" s="9" t="s">
        <v>10</v>
      </c>
      <c r="D534" s="9" t="s">
        <v>593</v>
      </c>
      <c r="E534" s="15">
        <v>422.17</v>
      </c>
      <c r="F534" s="18" t="s">
        <v>677</v>
      </c>
      <c r="G534" s="9" t="s">
        <v>594</v>
      </c>
      <c r="H534" s="17" t="s">
        <v>435</v>
      </c>
      <c r="I534" s="14" t="s">
        <v>134</v>
      </c>
      <c r="N534" s="7"/>
      <c r="O534" s="7"/>
    </row>
    <row r="535">
      <c r="A535" s="9" t="s">
        <v>50</v>
      </c>
      <c r="B535" s="21">
        <v>45859.0</v>
      </c>
      <c r="C535" s="9" t="s">
        <v>92</v>
      </c>
      <c r="D535" s="9" t="s">
        <v>597</v>
      </c>
      <c r="E535" s="15">
        <v>155.63</v>
      </c>
      <c r="F535" s="18" t="s">
        <v>678</v>
      </c>
      <c r="G535" s="9" t="s">
        <v>598</v>
      </c>
      <c r="H535" s="17" t="s">
        <v>436</v>
      </c>
      <c r="I535" s="14" t="s">
        <v>134</v>
      </c>
      <c r="N535" s="7"/>
      <c r="O535" s="7"/>
    </row>
    <row r="536">
      <c r="A536" s="9" t="s">
        <v>50</v>
      </c>
      <c r="B536" s="21">
        <v>45859.0</v>
      </c>
      <c r="C536" s="9" t="s">
        <v>10</v>
      </c>
      <c r="D536" s="9" t="s">
        <v>600</v>
      </c>
      <c r="E536" s="15">
        <v>415.7</v>
      </c>
      <c r="F536" s="18" t="s">
        <v>678</v>
      </c>
      <c r="G536" s="9" t="s">
        <v>601</v>
      </c>
      <c r="H536" s="17" t="s">
        <v>667</v>
      </c>
      <c r="I536" s="14" t="s">
        <v>134</v>
      </c>
      <c r="N536" s="7"/>
      <c r="O536" s="7"/>
    </row>
    <row r="537">
      <c r="A537" s="9" t="s">
        <v>50</v>
      </c>
      <c r="B537" s="21">
        <v>45859.0</v>
      </c>
      <c r="C537" s="9" t="s">
        <v>189</v>
      </c>
      <c r="D537" s="9" t="s">
        <v>604</v>
      </c>
      <c r="E537" s="15">
        <v>88.12</v>
      </c>
      <c r="F537" s="18" t="s">
        <v>678</v>
      </c>
      <c r="G537" s="9" t="s">
        <v>581</v>
      </c>
      <c r="H537" s="17" t="s">
        <v>664</v>
      </c>
      <c r="N537" s="7"/>
      <c r="O537" s="7"/>
    </row>
    <row r="538">
      <c r="A538" s="9" t="s">
        <v>47</v>
      </c>
      <c r="B538" s="21">
        <v>45867.0</v>
      </c>
      <c r="C538" s="9" t="s">
        <v>10</v>
      </c>
      <c r="D538" s="9" t="s">
        <v>584</v>
      </c>
      <c r="E538" s="15">
        <v>322.55</v>
      </c>
      <c r="F538" s="18" t="s">
        <v>679</v>
      </c>
      <c r="G538" s="9" t="s">
        <v>585</v>
      </c>
      <c r="H538" s="17" t="s">
        <v>667</v>
      </c>
      <c r="N538" s="7"/>
      <c r="O538" s="7"/>
    </row>
    <row r="539">
      <c r="A539" s="9" t="s">
        <v>47</v>
      </c>
      <c r="B539" s="21">
        <v>45870.0</v>
      </c>
      <c r="C539" s="9" t="s">
        <v>92</v>
      </c>
      <c r="D539" s="9" t="s">
        <v>604</v>
      </c>
      <c r="E539" s="15">
        <v>310.26</v>
      </c>
      <c r="F539" s="18" t="s">
        <v>679</v>
      </c>
      <c r="G539" s="9"/>
      <c r="H539" s="17"/>
      <c r="N539" s="7"/>
      <c r="O539" s="7"/>
    </row>
    <row r="540">
      <c r="A540" s="9" t="s">
        <v>50</v>
      </c>
      <c r="B540" s="21">
        <v>45873.0</v>
      </c>
      <c r="C540" s="9" t="s">
        <v>10</v>
      </c>
      <c r="D540" s="9" t="s">
        <v>590</v>
      </c>
      <c r="E540" s="15">
        <v>370.18</v>
      </c>
      <c r="F540" s="18" t="s">
        <v>679</v>
      </c>
      <c r="G540" s="9" t="s">
        <v>591</v>
      </c>
      <c r="H540" s="17" t="s">
        <v>680</v>
      </c>
      <c r="N540" s="7"/>
      <c r="O540" s="7"/>
    </row>
    <row r="541">
      <c r="A541" s="9" t="s">
        <v>50</v>
      </c>
      <c r="B541" s="21">
        <v>45873.0</v>
      </c>
      <c r="C541" s="9" t="s">
        <v>189</v>
      </c>
      <c r="D541" s="9" t="s">
        <v>593</v>
      </c>
      <c r="E541" s="15">
        <v>45.43</v>
      </c>
      <c r="F541" s="18" t="s">
        <v>679</v>
      </c>
      <c r="G541" s="9" t="s">
        <v>594</v>
      </c>
      <c r="H541" s="17" t="s">
        <v>133</v>
      </c>
      <c r="N541" s="7"/>
      <c r="O541" s="7"/>
    </row>
    <row r="542">
      <c r="A542" s="9" t="s">
        <v>9</v>
      </c>
      <c r="B542" s="21">
        <v>45881.0</v>
      </c>
      <c r="C542" s="9" t="s">
        <v>10</v>
      </c>
      <c r="D542" s="9" t="s">
        <v>597</v>
      </c>
      <c r="E542" s="15">
        <v>390.22</v>
      </c>
      <c r="F542" s="22"/>
      <c r="G542" s="9" t="s">
        <v>598</v>
      </c>
      <c r="H542" s="20"/>
      <c r="N542" s="7"/>
      <c r="O542" s="7"/>
    </row>
    <row r="543">
      <c r="A543" s="9" t="s">
        <v>9</v>
      </c>
      <c r="B543" s="21">
        <v>45884.0</v>
      </c>
      <c r="C543" s="9" t="s">
        <v>189</v>
      </c>
      <c r="D543" s="9" t="s">
        <v>600</v>
      </c>
      <c r="E543" s="15">
        <v>73.2</v>
      </c>
      <c r="F543" s="22"/>
      <c r="G543" s="9" t="s">
        <v>601</v>
      </c>
      <c r="H543" s="20"/>
      <c r="N543" s="7"/>
      <c r="O543" s="7"/>
    </row>
    <row r="544">
      <c r="A544" s="9" t="s">
        <v>9</v>
      </c>
      <c r="B544" s="21">
        <v>45884.0</v>
      </c>
      <c r="C544" s="9" t="s">
        <v>92</v>
      </c>
      <c r="D544" s="9" t="s">
        <v>604</v>
      </c>
      <c r="E544" s="15">
        <v>350.23</v>
      </c>
      <c r="F544" s="22"/>
      <c r="G544" s="9" t="s">
        <v>605</v>
      </c>
      <c r="H544" s="20"/>
      <c r="N544" s="7"/>
      <c r="O544" s="7"/>
    </row>
    <row r="545">
      <c r="A545" s="9" t="s">
        <v>9</v>
      </c>
      <c r="B545" s="21">
        <v>45884.0</v>
      </c>
      <c r="C545" s="9" t="s">
        <v>10</v>
      </c>
      <c r="D545" s="9" t="s">
        <v>593</v>
      </c>
      <c r="E545" s="15">
        <v>370.33</v>
      </c>
      <c r="F545" s="22"/>
      <c r="G545" s="9" t="s">
        <v>594</v>
      </c>
      <c r="H545" s="20"/>
      <c r="N545" s="7"/>
      <c r="O545" s="7"/>
    </row>
    <row r="546">
      <c r="A546" s="9" t="s">
        <v>9</v>
      </c>
      <c r="B546" s="21">
        <v>45888.0</v>
      </c>
      <c r="C546" s="9" t="s">
        <v>10</v>
      </c>
      <c r="D546" s="9" t="s">
        <v>597</v>
      </c>
      <c r="E546" s="15">
        <v>110.33</v>
      </c>
      <c r="F546" s="22"/>
      <c r="G546" s="9" t="s">
        <v>598</v>
      </c>
      <c r="H546" s="17" t="s">
        <v>403</v>
      </c>
      <c r="N546" s="7"/>
      <c r="O546" s="7"/>
    </row>
    <row r="547">
      <c r="A547" s="9" t="s">
        <v>9</v>
      </c>
      <c r="B547" s="21">
        <v>45888.0</v>
      </c>
      <c r="C547" s="9" t="s">
        <v>118</v>
      </c>
      <c r="D547" s="9" t="s">
        <v>600</v>
      </c>
      <c r="E547" s="15">
        <v>74.1</v>
      </c>
      <c r="F547" s="22"/>
      <c r="G547" s="9" t="s">
        <v>601</v>
      </c>
      <c r="H547" s="17" t="s">
        <v>225</v>
      </c>
      <c r="N547" s="7"/>
      <c r="O547" s="7"/>
    </row>
    <row r="548">
      <c r="A548" s="9" t="s">
        <v>9</v>
      </c>
      <c r="B548" s="21">
        <v>45888.0</v>
      </c>
      <c r="C548" s="9" t="s">
        <v>189</v>
      </c>
      <c r="D548" s="9" t="s">
        <v>604</v>
      </c>
      <c r="E548" s="15">
        <v>102.0</v>
      </c>
      <c r="F548" s="22"/>
      <c r="G548" s="9" t="s">
        <v>605</v>
      </c>
      <c r="H548" s="17" t="s">
        <v>403</v>
      </c>
      <c r="N548" s="7"/>
      <c r="O548" s="7"/>
    </row>
    <row r="549">
      <c r="A549" s="9" t="s">
        <v>9</v>
      </c>
      <c r="B549" s="21">
        <v>45888.0</v>
      </c>
      <c r="C549" s="9" t="s">
        <v>92</v>
      </c>
      <c r="D549" s="9" t="s">
        <v>590</v>
      </c>
      <c r="E549" s="15">
        <v>109.28</v>
      </c>
      <c r="F549" s="22"/>
      <c r="G549" s="9" t="s">
        <v>591</v>
      </c>
      <c r="H549" s="17" t="s">
        <v>681</v>
      </c>
      <c r="N549" s="7"/>
      <c r="O549" s="7"/>
    </row>
    <row r="550">
      <c r="A550" s="9" t="s">
        <v>9</v>
      </c>
      <c r="B550" s="21">
        <v>45891.0</v>
      </c>
      <c r="C550" s="9" t="s">
        <v>10</v>
      </c>
      <c r="D550" s="9" t="s">
        <v>682</v>
      </c>
      <c r="E550" s="15">
        <v>42.0</v>
      </c>
      <c r="F550" s="22"/>
      <c r="G550" s="9" t="s">
        <v>683</v>
      </c>
      <c r="H550" s="17" t="s">
        <v>225</v>
      </c>
      <c r="N550" s="7"/>
      <c r="O550" s="7"/>
    </row>
    <row r="551">
      <c r="A551" s="9" t="s">
        <v>9</v>
      </c>
      <c r="B551" s="21">
        <v>45891.0</v>
      </c>
      <c r="C551" s="9" t="s">
        <v>189</v>
      </c>
      <c r="D551" s="9" t="s">
        <v>684</v>
      </c>
      <c r="E551" s="15">
        <v>80.78</v>
      </c>
      <c r="F551" s="22"/>
      <c r="G551" s="9" t="s">
        <v>685</v>
      </c>
      <c r="H551" s="17" t="s">
        <v>403</v>
      </c>
      <c r="N551" s="7"/>
      <c r="O551" s="7"/>
    </row>
    <row r="552">
      <c r="A552" s="9" t="s">
        <v>9</v>
      </c>
      <c r="B552" s="21">
        <v>45891.0</v>
      </c>
      <c r="C552" s="9" t="s">
        <v>92</v>
      </c>
      <c r="D552" s="9" t="s">
        <v>449</v>
      </c>
      <c r="E552" s="15">
        <v>107.0</v>
      </c>
      <c r="F552" s="22"/>
      <c r="G552" s="9" t="s">
        <v>450</v>
      </c>
      <c r="H552" s="17" t="s">
        <v>686</v>
      </c>
      <c r="N552" s="7"/>
      <c r="O552" s="7"/>
    </row>
    <row r="553">
      <c r="A553" s="9" t="s">
        <v>9</v>
      </c>
      <c r="B553" s="21">
        <v>45891.0</v>
      </c>
      <c r="C553" s="9" t="s">
        <v>190</v>
      </c>
      <c r="D553" s="9" t="s">
        <v>447</v>
      </c>
      <c r="E553" s="15">
        <v>99.33</v>
      </c>
      <c r="F553" s="22"/>
      <c r="G553" s="9" t="s">
        <v>447</v>
      </c>
      <c r="H553" s="17" t="s">
        <v>687</v>
      </c>
      <c r="N553" s="7"/>
      <c r="O553" s="7"/>
    </row>
    <row r="554">
      <c r="A554" s="9" t="s">
        <v>9</v>
      </c>
      <c r="B554" s="21">
        <v>45895.0</v>
      </c>
      <c r="C554" s="9" t="s">
        <v>190</v>
      </c>
      <c r="D554" s="9" t="s">
        <v>449</v>
      </c>
      <c r="E554" s="15">
        <v>49.5</v>
      </c>
      <c r="F554" s="22"/>
      <c r="G554" s="9" t="s">
        <v>450</v>
      </c>
      <c r="H554" s="20"/>
      <c r="N554" s="7"/>
      <c r="O554" s="7"/>
    </row>
    <row r="555">
      <c r="A555" s="9" t="s">
        <v>9</v>
      </c>
      <c r="B555" s="21">
        <v>45895.0</v>
      </c>
      <c r="C555" s="9" t="s">
        <v>10</v>
      </c>
      <c r="D555" s="9" t="s">
        <v>469</v>
      </c>
      <c r="E555" s="15">
        <v>235.1</v>
      </c>
      <c r="F555" s="22"/>
      <c r="G555" s="9" t="s">
        <v>470</v>
      </c>
      <c r="H555" s="20"/>
      <c r="N555" s="7"/>
      <c r="O555" s="7"/>
    </row>
    <row r="556">
      <c r="A556" s="9" t="s">
        <v>9</v>
      </c>
      <c r="B556" s="21">
        <v>45895.0</v>
      </c>
      <c r="C556" s="9" t="s">
        <v>92</v>
      </c>
      <c r="D556" s="9" t="s">
        <v>682</v>
      </c>
      <c r="E556" s="15">
        <v>80.0</v>
      </c>
      <c r="F556" s="22"/>
      <c r="G556" s="9" t="s">
        <v>683</v>
      </c>
      <c r="H556" s="20"/>
      <c r="N556" s="7"/>
      <c r="O556" s="7"/>
    </row>
    <row r="557">
      <c r="A557" s="9" t="s">
        <v>9</v>
      </c>
      <c r="B557" s="21">
        <v>45898.0</v>
      </c>
      <c r="C557" s="9" t="s">
        <v>10</v>
      </c>
      <c r="D557" s="9" t="s">
        <v>684</v>
      </c>
      <c r="E557" s="15">
        <v>160.3</v>
      </c>
      <c r="F557" s="22"/>
      <c r="G557" s="9" t="s">
        <v>685</v>
      </c>
      <c r="H557" s="20"/>
      <c r="N557" s="7"/>
      <c r="O557" s="7"/>
    </row>
    <row r="558">
      <c r="A558" s="9" t="s">
        <v>688</v>
      </c>
      <c r="B558" s="21">
        <v>45901.0</v>
      </c>
      <c r="C558" s="9" t="s">
        <v>10</v>
      </c>
      <c r="D558" s="9" t="s">
        <v>457</v>
      </c>
      <c r="E558" s="15">
        <v>104.56</v>
      </c>
      <c r="F558" s="22"/>
      <c r="G558" s="9" t="s">
        <v>458</v>
      </c>
      <c r="H558" s="17" t="s">
        <v>664</v>
      </c>
      <c r="N558" s="7"/>
      <c r="O558" s="7"/>
    </row>
    <row r="559">
      <c r="A559" s="9" t="s">
        <v>688</v>
      </c>
      <c r="B559" s="21">
        <v>45901.0</v>
      </c>
      <c r="C559" s="9" t="s">
        <v>189</v>
      </c>
      <c r="D559" s="9" t="s">
        <v>461</v>
      </c>
      <c r="E559" s="15">
        <v>110.5</v>
      </c>
      <c r="F559" s="22"/>
      <c r="G559" s="9" t="s">
        <v>462</v>
      </c>
      <c r="H559" s="17" t="s">
        <v>664</v>
      </c>
      <c r="N559" s="7"/>
      <c r="O559" s="7"/>
    </row>
    <row r="560">
      <c r="A560" s="9" t="s">
        <v>50</v>
      </c>
      <c r="B560" s="21">
        <v>45903.0</v>
      </c>
      <c r="C560" s="9" t="s">
        <v>10</v>
      </c>
      <c r="D560" s="9" t="s">
        <v>447</v>
      </c>
      <c r="E560" s="15">
        <v>150.6</v>
      </c>
      <c r="F560" s="22"/>
      <c r="G560" s="9" t="s">
        <v>447</v>
      </c>
      <c r="H560" s="17" t="s">
        <v>664</v>
      </c>
      <c r="N560" s="7"/>
      <c r="O560" s="7"/>
    </row>
    <row r="561">
      <c r="A561" s="9" t="s">
        <v>50</v>
      </c>
      <c r="B561" s="21">
        <v>45903.0</v>
      </c>
      <c r="C561" s="9" t="s">
        <v>190</v>
      </c>
      <c r="D561" s="9" t="s">
        <v>449</v>
      </c>
      <c r="E561" s="15">
        <v>52.3</v>
      </c>
      <c r="F561" s="22"/>
      <c r="G561" s="9" t="s">
        <v>450</v>
      </c>
      <c r="H561" s="17" t="s">
        <v>133</v>
      </c>
      <c r="N561" s="7"/>
      <c r="O561" s="7"/>
    </row>
    <row r="562">
      <c r="A562" s="9" t="s">
        <v>50</v>
      </c>
      <c r="B562" s="21">
        <v>45909.0</v>
      </c>
      <c r="C562" s="9" t="s">
        <v>190</v>
      </c>
      <c r="D562" s="9" t="s">
        <v>469</v>
      </c>
      <c r="E562" s="15">
        <v>165.75</v>
      </c>
      <c r="F562" s="22"/>
      <c r="G562" s="9" t="s">
        <v>470</v>
      </c>
      <c r="H562" s="17" t="s">
        <v>689</v>
      </c>
      <c r="N562" s="7"/>
      <c r="O562" s="7"/>
    </row>
    <row r="563">
      <c r="A563" s="9" t="s">
        <v>50</v>
      </c>
      <c r="B563" s="21">
        <v>45909.0</v>
      </c>
      <c r="C563" s="9" t="s">
        <v>10</v>
      </c>
      <c r="D563" s="9" t="s">
        <v>453</v>
      </c>
      <c r="E563" s="15">
        <v>165.75</v>
      </c>
      <c r="F563" s="22"/>
      <c r="G563" s="9" t="s">
        <v>454</v>
      </c>
      <c r="H563" s="17" t="s">
        <v>690</v>
      </c>
      <c r="N563" s="7"/>
      <c r="O563" s="7"/>
    </row>
    <row r="564">
      <c r="A564" s="9" t="s">
        <v>50</v>
      </c>
      <c r="B564" s="21">
        <v>45912.0</v>
      </c>
      <c r="C564" s="9" t="s">
        <v>190</v>
      </c>
      <c r="D564" s="9" t="s">
        <v>682</v>
      </c>
      <c r="E564" s="15">
        <v>32.2</v>
      </c>
      <c r="F564" s="22"/>
      <c r="G564" s="9" t="s">
        <v>683</v>
      </c>
      <c r="H564" s="17" t="s">
        <v>133</v>
      </c>
      <c r="N564" s="7"/>
      <c r="O564" s="7"/>
    </row>
    <row r="565">
      <c r="A565" s="9" t="s">
        <v>50</v>
      </c>
      <c r="B565" s="21">
        <v>45912.0</v>
      </c>
      <c r="C565" s="9" t="s">
        <v>10</v>
      </c>
      <c r="D565" s="9" t="s">
        <v>684</v>
      </c>
      <c r="E565" s="15">
        <v>156.3</v>
      </c>
      <c r="F565" s="22"/>
      <c r="G565" s="9" t="s">
        <v>685</v>
      </c>
      <c r="H565" s="17"/>
      <c r="N565" s="7"/>
      <c r="O565" s="7"/>
    </row>
    <row r="566">
      <c r="A566" s="9" t="s">
        <v>50</v>
      </c>
      <c r="B566" s="21">
        <v>45916.0</v>
      </c>
      <c r="C566" s="9" t="s">
        <v>10</v>
      </c>
      <c r="D566" s="9">
        <v>4.0</v>
      </c>
      <c r="E566" s="15">
        <v>465.3</v>
      </c>
      <c r="F566" s="22"/>
      <c r="G566" s="9">
        <v>4.0</v>
      </c>
      <c r="H566" s="17" t="s">
        <v>691</v>
      </c>
      <c r="N566" s="7"/>
      <c r="O566" s="7"/>
    </row>
    <row r="567">
      <c r="A567" s="9" t="s">
        <v>50</v>
      </c>
      <c r="B567" s="21">
        <v>45919.0</v>
      </c>
      <c r="C567" s="9" t="s">
        <v>92</v>
      </c>
      <c r="D567" s="9" t="s">
        <v>684</v>
      </c>
      <c r="E567" s="15">
        <v>104.61</v>
      </c>
      <c r="F567" s="22"/>
      <c r="G567" s="9" t="s">
        <v>447</v>
      </c>
      <c r="H567" s="17" t="s">
        <v>668</v>
      </c>
      <c r="N567" s="7"/>
      <c r="O567" s="7"/>
    </row>
    <row r="568">
      <c r="A568" s="9" t="s">
        <v>50</v>
      </c>
      <c r="B568" s="21">
        <v>45919.0</v>
      </c>
      <c r="C568" s="9" t="s">
        <v>10</v>
      </c>
      <c r="D568" s="9" t="s">
        <v>447</v>
      </c>
      <c r="E568" s="15">
        <v>100.0</v>
      </c>
      <c r="F568" s="22"/>
      <c r="G568" s="9" t="s">
        <v>450</v>
      </c>
      <c r="H568" s="17"/>
      <c r="N568" s="7"/>
      <c r="O568" s="7"/>
    </row>
    <row r="569">
      <c r="A569" s="9" t="s">
        <v>50</v>
      </c>
      <c r="B569" s="21">
        <v>45919.0</v>
      </c>
      <c r="C569" s="9" t="s">
        <v>189</v>
      </c>
      <c r="D569" s="9" t="s">
        <v>449</v>
      </c>
      <c r="E569" s="15">
        <v>100.0</v>
      </c>
      <c r="F569" s="22"/>
      <c r="G569" s="9" t="s">
        <v>470</v>
      </c>
      <c r="H569" s="17" t="s">
        <v>694</v>
      </c>
      <c r="N569" s="7"/>
      <c r="O569" s="7"/>
    </row>
    <row r="570">
      <c r="A570" s="9" t="s">
        <v>50</v>
      </c>
      <c r="B570" s="21">
        <v>45922.0</v>
      </c>
      <c r="C570" s="9" t="s">
        <v>190</v>
      </c>
      <c r="D570" s="9" t="s">
        <v>469</v>
      </c>
      <c r="E570" s="15">
        <v>68.3</v>
      </c>
      <c r="F570" s="22"/>
      <c r="G570" s="9" t="s">
        <v>454</v>
      </c>
      <c r="H570" s="17" t="s">
        <v>133</v>
      </c>
      <c r="N570" s="7"/>
      <c r="O570" s="7"/>
    </row>
    <row r="571">
      <c r="A571" s="9" t="s">
        <v>50</v>
      </c>
      <c r="B571" s="21">
        <v>45922.0</v>
      </c>
      <c r="C571" s="9" t="s">
        <v>10</v>
      </c>
      <c r="D571" s="9" t="s">
        <v>453</v>
      </c>
      <c r="E571" s="15">
        <v>220.0</v>
      </c>
      <c r="F571" s="22"/>
      <c r="G571" s="9" t="s">
        <v>458</v>
      </c>
      <c r="H571" s="17" t="s">
        <v>668</v>
      </c>
      <c r="N571" s="7"/>
      <c r="O571" s="7"/>
    </row>
    <row r="572">
      <c r="A572" s="9" t="s">
        <v>50</v>
      </c>
      <c r="B572" s="21">
        <v>45926.0</v>
      </c>
      <c r="C572" s="9" t="s">
        <v>92</v>
      </c>
      <c r="D572" s="9" t="s">
        <v>488</v>
      </c>
      <c r="E572" s="15">
        <v>380.0</v>
      </c>
      <c r="F572" s="22"/>
      <c r="G572" s="9" t="s">
        <v>489</v>
      </c>
      <c r="H572" s="17">
        <v>12.0</v>
      </c>
      <c r="N572" s="7"/>
      <c r="O572" s="7"/>
    </row>
    <row r="573">
      <c r="A573" s="9" t="s">
        <v>9</v>
      </c>
      <c r="B573" s="21">
        <v>45930.0</v>
      </c>
      <c r="C573" s="9" t="s">
        <v>10</v>
      </c>
      <c r="D573" s="9">
        <v>4.0</v>
      </c>
      <c r="E573" s="15">
        <v>283.9</v>
      </c>
      <c r="F573" s="22"/>
      <c r="G573" s="9">
        <v>4.0</v>
      </c>
      <c r="H573" s="17"/>
      <c r="N573" s="7"/>
      <c r="O573" s="7"/>
    </row>
    <row r="574">
      <c r="A574" s="9" t="s">
        <v>9</v>
      </c>
      <c r="B574" s="21">
        <v>45930.0</v>
      </c>
      <c r="C574" s="9" t="s">
        <v>189</v>
      </c>
      <c r="D574" s="9" t="s">
        <v>584</v>
      </c>
      <c r="E574" s="15">
        <v>102.33</v>
      </c>
      <c r="F574" s="22"/>
      <c r="G574" s="9" t="s">
        <v>585</v>
      </c>
      <c r="H574" s="17"/>
      <c r="N574" s="7"/>
      <c r="O574" s="7"/>
    </row>
    <row r="575">
      <c r="A575" s="9" t="s">
        <v>9</v>
      </c>
      <c r="B575" s="21">
        <v>45930.0</v>
      </c>
      <c r="C575" s="9" t="s">
        <v>92</v>
      </c>
      <c r="D575" s="9">
        <v>4.0</v>
      </c>
      <c r="E575" s="15">
        <v>426.3</v>
      </c>
      <c r="F575" s="22"/>
      <c r="G575" s="9">
        <v>4.0</v>
      </c>
      <c r="H575" s="17"/>
      <c r="N575" s="7"/>
      <c r="O575" s="7"/>
    </row>
    <row r="576">
      <c r="A576" s="9" t="s">
        <v>9</v>
      </c>
      <c r="B576" s="21">
        <v>45933.0</v>
      </c>
      <c r="C576" s="9" t="s">
        <v>10</v>
      </c>
      <c r="D576" s="9" t="s">
        <v>457</v>
      </c>
      <c r="E576" s="15">
        <v>115.0</v>
      </c>
      <c r="F576" s="22"/>
      <c r="G576" s="9" t="s">
        <v>462</v>
      </c>
      <c r="H576" s="17" t="s">
        <v>664</v>
      </c>
      <c r="N576" s="7"/>
      <c r="O576" s="7"/>
    </row>
    <row r="577">
      <c r="A577" s="9" t="s">
        <v>9</v>
      </c>
      <c r="B577" s="21">
        <v>45933.0</v>
      </c>
      <c r="C577" s="9" t="s">
        <v>10</v>
      </c>
      <c r="D577" s="9" t="s">
        <v>461</v>
      </c>
      <c r="E577" s="15">
        <v>116.0</v>
      </c>
      <c r="F577" s="22"/>
      <c r="G577" s="9" t="s">
        <v>481</v>
      </c>
      <c r="H577" s="17" t="s">
        <v>664</v>
      </c>
      <c r="N577" s="7"/>
      <c r="O577" s="7"/>
    </row>
    <row r="578">
      <c r="A578" s="9" t="s">
        <v>9</v>
      </c>
      <c r="B578" s="21">
        <v>45933.0</v>
      </c>
      <c r="C578" s="9" t="s">
        <v>10</v>
      </c>
      <c r="D578" s="9" t="s">
        <v>480</v>
      </c>
      <c r="E578" s="15">
        <v>115.4</v>
      </c>
      <c r="F578" s="22"/>
      <c r="G578" s="9" t="s">
        <v>485</v>
      </c>
      <c r="H578" s="17" t="s">
        <v>664</v>
      </c>
      <c r="N578" s="7"/>
      <c r="O578" s="7"/>
    </row>
    <row r="579">
      <c r="A579" s="9" t="s">
        <v>9</v>
      </c>
      <c r="B579" s="21">
        <v>45933.0</v>
      </c>
      <c r="C579" s="9" t="s">
        <v>10</v>
      </c>
      <c r="D579" s="9" t="s">
        <v>484</v>
      </c>
      <c r="E579" s="15">
        <v>115.4</v>
      </c>
      <c r="F579" s="22"/>
      <c r="G579" s="9" t="s">
        <v>489</v>
      </c>
      <c r="H579" s="17" t="s">
        <v>664</v>
      </c>
      <c r="N579" s="7"/>
      <c r="O579" s="7"/>
    </row>
    <row r="580">
      <c r="A580" s="9" t="s">
        <v>9</v>
      </c>
      <c r="B580" s="21">
        <v>45933.0</v>
      </c>
      <c r="C580" s="9" t="s">
        <v>190</v>
      </c>
      <c r="D580" s="9" t="s">
        <v>449</v>
      </c>
      <c r="E580" s="15">
        <v>115.46</v>
      </c>
      <c r="F580" s="22"/>
      <c r="G580" s="9" t="s">
        <v>450</v>
      </c>
      <c r="H580" s="17" t="s">
        <v>695</v>
      </c>
      <c r="N580" s="7"/>
      <c r="O580" s="7"/>
    </row>
    <row r="581">
      <c r="A581" s="9" t="s">
        <v>9</v>
      </c>
      <c r="B581" s="21">
        <v>45936.0</v>
      </c>
      <c r="C581" s="9" t="s">
        <v>189</v>
      </c>
      <c r="D581" s="9" t="s">
        <v>469</v>
      </c>
      <c r="E581" s="15">
        <v>65.72</v>
      </c>
      <c r="F581" s="22"/>
      <c r="G581" s="9" t="s">
        <v>470</v>
      </c>
      <c r="H581" s="17" t="s">
        <v>696</v>
      </c>
      <c r="N581" s="7"/>
      <c r="O581" s="7"/>
    </row>
    <row r="582">
      <c r="A582" s="9" t="s">
        <v>9</v>
      </c>
      <c r="B582" s="21">
        <v>45936.0</v>
      </c>
      <c r="C582" s="9" t="s">
        <v>92</v>
      </c>
      <c r="D582" s="9" t="s">
        <v>453</v>
      </c>
      <c r="E582" s="15">
        <v>135.2</v>
      </c>
      <c r="F582" s="22"/>
      <c r="G582" s="9" t="s">
        <v>454</v>
      </c>
      <c r="H582" s="17" t="s">
        <v>664</v>
      </c>
      <c r="N582" s="7"/>
      <c r="O582" s="7"/>
    </row>
    <row r="583">
      <c r="A583" s="9" t="s">
        <v>9</v>
      </c>
      <c r="B583" s="21">
        <v>45936.0</v>
      </c>
      <c r="C583" s="9" t="s">
        <v>92</v>
      </c>
      <c r="D583" s="9" t="s">
        <v>682</v>
      </c>
      <c r="E583" s="15">
        <v>163.12</v>
      </c>
      <c r="F583" s="22"/>
      <c r="G583" s="9" t="s">
        <v>683</v>
      </c>
      <c r="H583" s="17" t="s">
        <v>168</v>
      </c>
      <c r="N583" s="7"/>
      <c r="O583" s="7"/>
    </row>
    <row r="584">
      <c r="A584" s="9" t="s">
        <v>9</v>
      </c>
      <c r="B584" s="21">
        <v>45936.0</v>
      </c>
      <c r="C584" s="9" t="s">
        <v>10</v>
      </c>
      <c r="D584" s="9" t="s">
        <v>457</v>
      </c>
      <c r="E584" s="15">
        <v>183.2</v>
      </c>
      <c r="F584" s="22"/>
      <c r="G584" s="9" t="s">
        <v>458</v>
      </c>
      <c r="H584" s="17"/>
      <c r="N584" s="7"/>
      <c r="O584" s="7"/>
    </row>
    <row r="585">
      <c r="A585" s="9" t="s">
        <v>9</v>
      </c>
      <c r="B585" s="21">
        <v>45936.0</v>
      </c>
      <c r="C585" s="9" t="s">
        <v>10</v>
      </c>
      <c r="D585" s="9" t="s">
        <v>461</v>
      </c>
      <c r="E585" s="15">
        <v>160.35</v>
      </c>
      <c r="F585" s="22"/>
      <c r="G585" s="9" t="s">
        <v>462</v>
      </c>
      <c r="H585" s="17" t="s">
        <v>664</v>
      </c>
      <c r="N585" s="7"/>
      <c r="O585" s="7"/>
    </row>
    <row r="586">
      <c r="A586" s="9" t="s">
        <v>9</v>
      </c>
      <c r="B586" s="21">
        <v>45936.0</v>
      </c>
      <c r="C586" s="9" t="s">
        <v>190</v>
      </c>
      <c r="D586" s="9" t="s">
        <v>480</v>
      </c>
      <c r="E586" s="15">
        <v>120.56</v>
      </c>
      <c r="F586" s="22"/>
      <c r="G586" s="9" t="s">
        <v>481</v>
      </c>
      <c r="H586" s="17" t="s">
        <v>168</v>
      </c>
      <c r="N586" s="7"/>
      <c r="O586" s="7"/>
    </row>
    <row r="587">
      <c r="A587" s="9" t="s">
        <v>50</v>
      </c>
      <c r="B587" s="21">
        <v>45940.0</v>
      </c>
      <c r="C587" s="9" t="s">
        <v>189</v>
      </c>
      <c r="D587" s="9" t="s">
        <v>484</v>
      </c>
      <c r="E587" s="15">
        <v>98.89</v>
      </c>
      <c r="F587" s="22"/>
      <c r="G587" s="9" t="s">
        <v>485</v>
      </c>
      <c r="H587" s="93" t="s">
        <v>664</v>
      </c>
      <c r="N587" s="7"/>
      <c r="O587" s="7"/>
    </row>
    <row r="588">
      <c r="A588" s="9" t="s">
        <v>50</v>
      </c>
      <c r="B588" s="21">
        <v>45940.0</v>
      </c>
      <c r="C588" s="9" t="s">
        <v>10</v>
      </c>
      <c r="D588" s="9" t="s">
        <v>391</v>
      </c>
      <c r="E588" s="15">
        <v>350.06</v>
      </c>
      <c r="F588" s="22"/>
      <c r="G588" s="9" t="s">
        <v>391</v>
      </c>
      <c r="H588" s="93" t="s">
        <v>668</v>
      </c>
      <c r="N588" s="7"/>
      <c r="O588" s="7"/>
    </row>
    <row r="589">
      <c r="A589" s="9" t="s">
        <v>688</v>
      </c>
      <c r="B589" s="21">
        <v>45950.0</v>
      </c>
      <c r="C589" s="9" t="s">
        <v>10</v>
      </c>
      <c r="D589" s="9" t="s">
        <v>580</v>
      </c>
      <c r="E589" s="15">
        <v>125.3</v>
      </c>
      <c r="F589" s="22"/>
      <c r="G589" s="9" t="s">
        <v>581</v>
      </c>
      <c r="H589" s="17" t="s">
        <v>168</v>
      </c>
      <c r="N589" s="7"/>
      <c r="O589" s="7"/>
    </row>
    <row r="590">
      <c r="A590" s="9" t="s">
        <v>688</v>
      </c>
      <c r="B590" s="21">
        <v>45950.0</v>
      </c>
      <c r="C590" s="9" t="s">
        <v>10</v>
      </c>
      <c r="D590" s="9" t="s">
        <v>584</v>
      </c>
      <c r="E590" s="15">
        <v>120.02</v>
      </c>
      <c r="F590" s="22"/>
      <c r="G590" s="9" t="s">
        <v>585</v>
      </c>
      <c r="H590" s="17" t="s">
        <v>664</v>
      </c>
      <c r="N590" s="7"/>
      <c r="O590" s="7"/>
    </row>
    <row r="591">
      <c r="A591" s="9" t="s">
        <v>688</v>
      </c>
      <c r="B591" s="21">
        <v>45950.0</v>
      </c>
      <c r="C591" s="9" t="s">
        <v>10</v>
      </c>
      <c r="D591" s="9" t="s">
        <v>590</v>
      </c>
      <c r="E591" s="15">
        <v>118.33</v>
      </c>
      <c r="F591" s="22"/>
      <c r="G591" s="9" t="s">
        <v>591</v>
      </c>
      <c r="H591" s="17" t="s">
        <v>130</v>
      </c>
      <c r="N591" s="7"/>
      <c r="O591" s="7"/>
    </row>
    <row r="592">
      <c r="A592" s="9" t="s">
        <v>688</v>
      </c>
      <c r="B592" s="21">
        <v>45950.0</v>
      </c>
      <c r="C592" s="9" t="s">
        <v>10</v>
      </c>
      <c r="D592" s="9" t="s">
        <v>593</v>
      </c>
      <c r="E592" s="15">
        <v>115.02</v>
      </c>
      <c r="F592" s="22"/>
      <c r="G592" s="9" t="s">
        <v>594</v>
      </c>
      <c r="H592" s="17" t="s">
        <v>436</v>
      </c>
      <c r="N592" s="7"/>
      <c r="O592" s="7"/>
    </row>
    <row r="593">
      <c r="A593" s="9" t="s">
        <v>688</v>
      </c>
      <c r="B593" s="21">
        <v>45950.0</v>
      </c>
      <c r="C593" s="9" t="s">
        <v>10</v>
      </c>
      <c r="D593" s="9" t="s">
        <v>597</v>
      </c>
      <c r="E593" s="15">
        <v>119.33</v>
      </c>
      <c r="F593" s="22"/>
      <c r="G593" s="9" t="s">
        <v>598</v>
      </c>
      <c r="H593" s="17" t="s">
        <v>130</v>
      </c>
      <c r="N593" s="7"/>
      <c r="O593" s="7"/>
    </row>
    <row r="594">
      <c r="A594" s="9" t="s">
        <v>688</v>
      </c>
      <c r="B594" s="21">
        <v>45950.0</v>
      </c>
      <c r="C594" s="9" t="s">
        <v>92</v>
      </c>
      <c r="D594" s="9" t="s">
        <v>600</v>
      </c>
      <c r="E594" s="15">
        <v>129.0</v>
      </c>
      <c r="F594" s="22"/>
      <c r="G594" s="9" t="s">
        <v>601</v>
      </c>
      <c r="H594" s="17" t="s">
        <v>664</v>
      </c>
      <c r="N594" s="7"/>
      <c r="O594" s="7"/>
    </row>
    <row r="595">
      <c r="A595" s="9" t="s">
        <v>688</v>
      </c>
      <c r="B595" s="21">
        <v>45950.0</v>
      </c>
      <c r="C595" s="9" t="s">
        <v>92</v>
      </c>
      <c r="D595" s="9" t="s">
        <v>604</v>
      </c>
      <c r="E595" s="15">
        <v>125.66</v>
      </c>
      <c r="F595" s="22"/>
      <c r="G595" s="9" t="s">
        <v>605</v>
      </c>
      <c r="H595" s="17" t="s">
        <v>664</v>
      </c>
      <c r="N595" s="7"/>
      <c r="O595" s="7"/>
    </row>
    <row r="596">
      <c r="A596" s="9" t="s">
        <v>688</v>
      </c>
      <c r="B596" s="21">
        <v>45952.0</v>
      </c>
      <c r="C596" s="9" t="s">
        <v>190</v>
      </c>
      <c r="D596" s="9" t="s">
        <v>449</v>
      </c>
      <c r="E596" s="15">
        <v>62.35</v>
      </c>
      <c r="F596" s="22"/>
      <c r="G596" s="9" t="s">
        <v>450</v>
      </c>
      <c r="H596" s="17" t="s">
        <v>664</v>
      </c>
      <c r="N596" s="7"/>
      <c r="O596" s="7"/>
    </row>
    <row r="597">
      <c r="A597" s="9" t="s">
        <v>688</v>
      </c>
      <c r="B597" s="21">
        <v>45952.0</v>
      </c>
      <c r="C597" s="9" t="s">
        <v>10</v>
      </c>
      <c r="D597" s="9" t="s">
        <v>469</v>
      </c>
      <c r="E597" s="15">
        <v>91.85</v>
      </c>
      <c r="F597" s="22"/>
      <c r="G597" s="9" t="s">
        <v>470</v>
      </c>
      <c r="H597" s="17" t="s">
        <v>664</v>
      </c>
      <c r="N597" s="7"/>
      <c r="O597" s="7"/>
    </row>
    <row r="598">
      <c r="A598" s="9" t="s">
        <v>688</v>
      </c>
      <c r="B598" s="21">
        <v>45952.0</v>
      </c>
      <c r="C598" s="9" t="s">
        <v>10</v>
      </c>
      <c r="D598" s="9" t="s">
        <v>453</v>
      </c>
      <c r="E598" s="15">
        <v>90.0</v>
      </c>
      <c r="F598" s="22"/>
      <c r="G598" s="9" t="s">
        <v>454</v>
      </c>
      <c r="H598" s="17" t="s">
        <v>436</v>
      </c>
      <c r="N598" s="7"/>
      <c r="O598" s="7"/>
    </row>
    <row r="599">
      <c r="A599" s="9" t="s">
        <v>50</v>
      </c>
      <c r="B599" s="21">
        <v>45954.0</v>
      </c>
      <c r="C599" s="9" t="s">
        <v>10</v>
      </c>
      <c r="D599" s="9" t="s">
        <v>457</v>
      </c>
      <c r="E599" s="15">
        <v>100.35</v>
      </c>
      <c r="F599" s="22"/>
      <c r="G599" s="9" t="s">
        <v>458</v>
      </c>
      <c r="H599" s="17" t="s">
        <v>664</v>
      </c>
      <c r="N599" s="7"/>
      <c r="O599" s="7"/>
    </row>
    <row r="600">
      <c r="A600" s="9" t="s">
        <v>688</v>
      </c>
      <c r="B600" s="21">
        <v>45964.0</v>
      </c>
      <c r="C600" s="9" t="s">
        <v>10</v>
      </c>
      <c r="D600" s="9" t="s">
        <v>461</v>
      </c>
      <c r="E600" s="15">
        <v>150.72</v>
      </c>
      <c r="F600" s="22"/>
      <c r="G600" s="9" t="s">
        <v>462</v>
      </c>
      <c r="H600" s="17" t="s">
        <v>168</v>
      </c>
      <c r="N600" s="7"/>
      <c r="O600" s="7"/>
    </row>
    <row r="601">
      <c r="A601" s="9" t="s">
        <v>688</v>
      </c>
      <c r="B601" s="21">
        <v>45964.0</v>
      </c>
      <c r="C601" s="9" t="s">
        <v>190</v>
      </c>
      <c r="D601" s="9" t="s">
        <v>480</v>
      </c>
      <c r="E601" s="15">
        <v>133.82</v>
      </c>
      <c r="F601" s="22"/>
      <c r="G601" s="9" t="s">
        <v>481</v>
      </c>
      <c r="H601" s="17" t="s">
        <v>664</v>
      </c>
      <c r="N601" s="7"/>
      <c r="O601" s="7"/>
    </row>
    <row r="602">
      <c r="A602" s="9" t="s">
        <v>688</v>
      </c>
      <c r="B602" s="21">
        <v>45964.0</v>
      </c>
      <c r="C602" s="9" t="s">
        <v>10</v>
      </c>
      <c r="D602" s="9" t="s">
        <v>484</v>
      </c>
      <c r="E602" s="15">
        <v>150.72</v>
      </c>
      <c r="F602" s="22"/>
      <c r="G602" s="9" t="s">
        <v>485</v>
      </c>
      <c r="H602" s="17" t="s">
        <v>664</v>
      </c>
      <c r="N602" s="7"/>
      <c r="O602" s="7"/>
    </row>
    <row r="603">
      <c r="A603" s="9" t="s">
        <v>688</v>
      </c>
      <c r="B603" s="21">
        <v>45964.0</v>
      </c>
      <c r="C603" s="9" t="s">
        <v>189</v>
      </c>
      <c r="D603" s="9" t="s">
        <v>488</v>
      </c>
      <c r="E603" s="15">
        <v>160.01</v>
      </c>
      <c r="F603" s="22"/>
      <c r="G603" s="9" t="s">
        <v>489</v>
      </c>
      <c r="H603" s="17" t="s">
        <v>664</v>
      </c>
      <c r="N603" s="7"/>
      <c r="O603" s="7"/>
    </row>
    <row r="604">
      <c r="A604" s="9" t="s">
        <v>688</v>
      </c>
      <c r="B604" s="21">
        <v>45964.0</v>
      </c>
      <c r="C604" s="9" t="s">
        <v>92</v>
      </c>
      <c r="D604" s="9" t="s">
        <v>580</v>
      </c>
      <c r="E604" s="15">
        <v>151.0</v>
      </c>
      <c r="F604" s="22"/>
      <c r="G604" s="9" t="s">
        <v>581</v>
      </c>
      <c r="H604" s="17" t="s">
        <v>664</v>
      </c>
      <c r="N604" s="7"/>
      <c r="O604" s="7"/>
    </row>
    <row r="605">
      <c r="A605" s="9" t="s">
        <v>688</v>
      </c>
      <c r="B605" s="21">
        <v>45964.0</v>
      </c>
      <c r="C605" s="9" t="s">
        <v>10</v>
      </c>
      <c r="D605" s="9" t="s">
        <v>584</v>
      </c>
      <c r="E605" s="15">
        <v>149.06</v>
      </c>
      <c r="F605" s="22"/>
      <c r="G605" s="9" t="s">
        <v>585</v>
      </c>
      <c r="H605" s="17" t="s">
        <v>168</v>
      </c>
      <c r="N605" s="7"/>
      <c r="O605" s="7"/>
    </row>
    <row r="606">
      <c r="A606" s="9" t="s">
        <v>9</v>
      </c>
      <c r="B606" s="21">
        <v>45968.0</v>
      </c>
      <c r="C606" s="9" t="s">
        <v>10</v>
      </c>
      <c r="D606" s="9" t="s">
        <v>590</v>
      </c>
      <c r="E606" s="15">
        <v>120.03</v>
      </c>
      <c r="F606" s="22"/>
      <c r="G606" s="9" t="s">
        <v>591</v>
      </c>
      <c r="H606" s="17" t="s">
        <v>168</v>
      </c>
      <c r="N606" s="7"/>
      <c r="O606" s="7"/>
    </row>
    <row r="607">
      <c r="A607" s="9" t="s">
        <v>9</v>
      </c>
      <c r="B607" s="21">
        <v>45968.0</v>
      </c>
      <c r="C607" s="9" t="s">
        <v>190</v>
      </c>
      <c r="D607" s="9" t="s">
        <v>593</v>
      </c>
      <c r="E607" s="15">
        <v>100.0</v>
      </c>
      <c r="F607" s="22"/>
      <c r="G607" s="9" t="s">
        <v>594</v>
      </c>
      <c r="H607" s="17" t="s">
        <v>436</v>
      </c>
      <c r="N607" s="7"/>
      <c r="O607" s="7"/>
    </row>
    <row r="608">
      <c r="A608" s="9" t="s">
        <v>9</v>
      </c>
      <c r="B608" s="21">
        <v>45968.0</v>
      </c>
      <c r="C608" s="9" t="s">
        <v>189</v>
      </c>
      <c r="D608" s="9" t="s">
        <v>597</v>
      </c>
      <c r="E608" s="15">
        <v>97.9</v>
      </c>
      <c r="F608" s="22"/>
      <c r="G608" s="9" t="s">
        <v>598</v>
      </c>
      <c r="H608" s="17" t="s">
        <v>696</v>
      </c>
      <c r="N608" s="7"/>
      <c r="O608" s="7"/>
    </row>
    <row r="609">
      <c r="A609" s="9" t="s">
        <v>9</v>
      </c>
      <c r="B609" s="21">
        <v>45968.0</v>
      </c>
      <c r="C609" s="9" t="s">
        <v>92</v>
      </c>
      <c r="D609" s="9" t="s">
        <v>600</v>
      </c>
      <c r="E609" s="15">
        <v>114.27</v>
      </c>
      <c r="F609" s="22"/>
      <c r="G609" s="9" t="s">
        <v>601</v>
      </c>
      <c r="H609" s="17" t="s">
        <v>436</v>
      </c>
      <c r="N609" s="7"/>
      <c r="O609" s="7"/>
    </row>
    <row r="610">
      <c r="A610" s="9" t="s">
        <v>9</v>
      </c>
      <c r="B610" s="21">
        <v>45973.0</v>
      </c>
      <c r="C610" s="9" t="s">
        <v>10</v>
      </c>
      <c r="D610" s="9" t="s">
        <v>604</v>
      </c>
      <c r="E610" s="15">
        <v>163.12</v>
      </c>
      <c r="F610" s="22"/>
      <c r="G610" s="9" t="s">
        <v>605</v>
      </c>
      <c r="H610" s="17" t="s">
        <v>168</v>
      </c>
      <c r="N610" s="7"/>
      <c r="O610" s="7"/>
    </row>
    <row r="611">
      <c r="A611" s="9" t="s">
        <v>9</v>
      </c>
      <c r="B611" s="21">
        <v>45973.0</v>
      </c>
      <c r="C611" s="9" t="s">
        <v>92</v>
      </c>
      <c r="D611" s="9" t="s">
        <v>682</v>
      </c>
      <c r="E611" s="15">
        <v>155.0</v>
      </c>
      <c r="F611" s="22"/>
      <c r="G611" s="9" t="s">
        <v>683</v>
      </c>
      <c r="H611" s="17" t="s">
        <v>664</v>
      </c>
      <c r="N611" s="7"/>
      <c r="O611" s="7"/>
    </row>
    <row r="612">
      <c r="A612" s="9" t="s">
        <v>9</v>
      </c>
      <c r="B612" s="21">
        <v>45973.0</v>
      </c>
      <c r="C612" s="9" t="s">
        <v>190</v>
      </c>
      <c r="D612" s="9" t="s">
        <v>684</v>
      </c>
      <c r="E612" s="15">
        <v>160.88</v>
      </c>
      <c r="F612" s="22"/>
      <c r="G612" s="9" t="s">
        <v>685</v>
      </c>
      <c r="H612" s="17" t="s">
        <v>664</v>
      </c>
      <c r="N612" s="7"/>
      <c r="O612" s="7"/>
    </row>
    <row r="613">
      <c r="A613" s="9" t="s">
        <v>9</v>
      </c>
      <c r="B613" s="21">
        <v>45973.0</v>
      </c>
      <c r="C613" s="9" t="s">
        <v>10</v>
      </c>
      <c r="D613" s="9" t="s">
        <v>447</v>
      </c>
      <c r="E613" s="15">
        <v>175.1</v>
      </c>
      <c r="F613" s="22"/>
      <c r="G613" s="9" t="s">
        <v>447</v>
      </c>
      <c r="H613" s="17" t="s">
        <v>664</v>
      </c>
      <c r="N613" s="7"/>
      <c r="O613" s="7"/>
    </row>
    <row r="614">
      <c r="A614" s="9" t="s">
        <v>9</v>
      </c>
      <c r="B614" s="21">
        <v>45973.0</v>
      </c>
      <c r="C614" s="9" t="s">
        <v>10</v>
      </c>
      <c r="D614" s="9" t="s">
        <v>449</v>
      </c>
      <c r="E614" s="15">
        <v>129.9</v>
      </c>
      <c r="F614" s="22"/>
      <c r="G614" s="9" t="s">
        <v>450</v>
      </c>
      <c r="H614" s="17" t="s">
        <v>168</v>
      </c>
      <c r="N614" s="7"/>
      <c r="O614" s="7"/>
    </row>
    <row r="615">
      <c r="A615" s="9" t="s">
        <v>9</v>
      </c>
      <c r="B615" s="21">
        <v>45975.0</v>
      </c>
      <c r="C615" s="9" t="s">
        <v>10</v>
      </c>
      <c r="D615" s="9" t="s">
        <v>469</v>
      </c>
      <c r="E615" s="15">
        <v>152.0</v>
      </c>
      <c r="F615" s="22"/>
      <c r="G615" s="9" t="s">
        <v>470</v>
      </c>
      <c r="H615" s="17" t="s">
        <v>664</v>
      </c>
      <c r="N615" s="7"/>
      <c r="O615" s="7"/>
    </row>
    <row r="616">
      <c r="A616" s="9" t="s">
        <v>9</v>
      </c>
      <c r="B616" s="21">
        <v>45975.0</v>
      </c>
      <c r="C616" s="9" t="s">
        <v>10</v>
      </c>
      <c r="D616" s="9" t="s">
        <v>453</v>
      </c>
      <c r="E616" s="15">
        <v>159.0</v>
      </c>
      <c r="F616" s="22"/>
      <c r="G616" s="9" t="s">
        <v>454</v>
      </c>
      <c r="H616" s="17" t="s">
        <v>168</v>
      </c>
      <c r="N616" s="7"/>
      <c r="O616" s="7"/>
    </row>
    <row r="617">
      <c r="A617" s="9" t="s">
        <v>9</v>
      </c>
      <c r="B617" s="21">
        <v>45975.0</v>
      </c>
      <c r="C617" s="9" t="s">
        <v>92</v>
      </c>
      <c r="D617" s="9" t="s">
        <v>457</v>
      </c>
      <c r="E617" s="15">
        <v>140.0</v>
      </c>
      <c r="F617" s="22"/>
      <c r="G617" s="9" t="s">
        <v>458</v>
      </c>
      <c r="H617" s="17" t="s">
        <v>664</v>
      </c>
      <c r="N617" s="7"/>
      <c r="O617" s="7"/>
    </row>
    <row r="618">
      <c r="A618" s="9" t="s">
        <v>9</v>
      </c>
      <c r="B618" s="21">
        <v>45975.0</v>
      </c>
      <c r="C618" s="9" t="s">
        <v>92</v>
      </c>
      <c r="D618" s="9" t="s">
        <v>461</v>
      </c>
      <c r="E618" s="15">
        <v>150.0</v>
      </c>
      <c r="F618" s="22"/>
      <c r="G618" s="9" t="s">
        <v>462</v>
      </c>
      <c r="H618" s="17" t="s">
        <v>664</v>
      </c>
      <c r="N618" s="7"/>
      <c r="O618" s="7"/>
    </row>
    <row r="619">
      <c r="A619" s="9" t="s">
        <v>9</v>
      </c>
      <c r="B619" s="21">
        <v>45978.0</v>
      </c>
      <c r="C619" s="9" t="s">
        <v>10</v>
      </c>
      <c r="D619" s="9" t="s">
        <v>480</v>
      </c>
      <c r="E619" s="15">
        <v>130.33</v>
      </c>
      <c r="F619" s="22"/>
      <c r="G619" s="9" t="s">
        <v>481</v>
      </c>
      <c r="H619" s="17" t="s">
        <v>664</v>
      </c>
      <c r="N619" s="7"/>
      <c r="O619" s="7"/>
    </row>
    <row r="620">
      <c r="A620" s="9" t="s">
        <v>9</v>
      </c>
      <c r="B620" s="21">
        <v>45978.0</v>
      </c>
      <c r="C620" s="9" t="s">
        <v>10</v>
      </c>
      <c r="D620" s="9" t="s">
        <v>484</v>
      </c>
      <c r="E620" s="15">
        <v>154.2</v>
      </c>
      <c r="F620" s="22"/>
      <c r="G620" s="9" t="s">
        <v>485</v>
      </c>
      <c r="H620" s="17" t="s">
        <v>664</v>
      </c>
      <c r="N620" s="7"/>
      <c r="O620" s="7"/>
    </row>
    <row r="621">
      <c r="A621" s="9" t="s">
        <v>9</v>
      </c>
      <c r="B621" s="21">
        <v>45978.0</v>
      </c>
      <c r="C621" s="9" t="s">
        <v>10</v>
      </c>
      <c r="D621" s="9" t="s">
        <v>593</v>
      </c>
      <c r="E621" s="15">
        <v>142.77</v>
      </c>
      <c r="F621" s="22"/>
      <c r="G621" s="9" t="s">
        <v>594</v>
      </c>
      <c r="H621" s="17" t="s">
        <v>664</v>
      </c>
      <c r="N621" s="7"/>
      <c r="O621" s="7"/>
    </row>
    <row r="622">
      <c r="A622" s="9" t="s">
        <v>9</v>
      </c>
      <c r="B622" s="23">
        <v>45995.0</v>
      </c>
      <c r="C622" s="9" t="s">
        <v>10</v>
      </c>
      <c r="D622" s="9" t="s">
        <v>597</v>
      </c>
      <c r="E622" s="15">
        <v>123.26</v>
      </c>
      <c r="F622" s="22"/>
      <c r="G622" s="9" t="s">
        <v>598</v>
      </c>
      <c r="H622" s="17" t="s">
        <v>168</v>
      </c>
      <c r="N622" s="7"/>
      <c r="O622" s="7"/>
    </row>
    <row r="623">
      <c r="A623" s="9" t="s">
        <v>9</v>
      </c>
      <c r="B623" s="23">
        <v>45995.0</v>
      </c>
      <c r="C623" s="9" t="s">
        <v>10</v>
      </c>
      <c r="D623" s="9" t="s">
        <v>600</v>
      </c>
      <c r="E623" s="15">
        <v>109.32</v>
      </c>
      <c r="F623" s="22"/>
      <c r="G623" s="9" t="s">
        <v>601</v>
      </c>
      <c r="H623" s="17" t="s">
        <v>436</v>
      </c>
      <c r="N623" s="7"/>
      <c r="O623" s="7"/>
    </row>
    <row r="624">
      <c r="A624" s="9" t="s">
        <v>9</v>
      </c>
      <c r="B624" s="23">
        <v>45995.0</v>
      </c>
      <c r="C624" s="9" t="s">
        <v>92</v>
      </c>
      <c r="D624" s="9" t="s">
        <v>604</v>
      </c>
      <c r="E624" s="15">
        <v>119.0</v>
      </c>
      <c r="F624" s="22"/>
      <c r="G624" s="9" t="s">
        <v>605</v>
      </c>
      <c r="H624" s="17" t="s">
        <v>696</v>
      </c>
      <c r="N624" s="7"/>
      <c r="O624" s="7"/>
    </row>
    <row r="625">
      <c r="A625" s="9" t="s">
        <v>9</v>
      </c>
      <c r="B625" s="23">
        <v>45995.0</v>
      </c>
      <c r="C625" s="9" t="s">
        <v>10</v>
      </c>
      <c r="D625" s="9" t="s">
        <v>682</v>
      </c>
      <c r="E625" s="15">
        <v>120.0</v>
      </c>
      <c r="F625" s="22"/>
      <c r="G625" s="9" t="s">
        <v>683</v>
      </c>
      <c r="H625" s="17" t="s">
        <v>168</v>
      </c>
      <c r="N625" s="7"/>
      <c r="O625" s="7"/>
    </row>
    <row r="626">
      <c r="A626" s="9" t="s">
        <v>9</v>
      </c>
      <c r="B626" s="23">
        <v>45995.0</v>
      </c>
      <c r="C626" s="9" t="s">
        <v>10</v>
      </c>
      <c r="D626" s="9" t="s">
        <v>684</v>
      </c>
      <c r="E626" s="15">
        <v>107.98</v>
      </c>
      <c r="F626" s="22"/>
      <c r="G626" s="9" t="s">
        <v>685</v>
      </c>
      <c r="H626" s="17" t="s">
        <v>436</v>
      </c>
      <c r="N626" s="7"/>
      <c r="O626" s="7"/>
    </row>
    <row r="627">
      <c r="A627" s="9" t="s">
        <v>9</v>
      </c>
      <c r="B627" s="23">
        <v>45995.0</v>
      </c>
      <c r="C627" s="9" t="s">
        <v>10</v>
      </c>
      <c r="D627" s="9" t="s">
        <v>698</v>
      </c>
      <c r="E627" s="15">
        <v>150.0</v>
      </c>
      <c r="F627" s="22"/>
      <c r="G627" s="9" t="s">
        <v>699</v>
      </c>
      <c r="H627" s="17" t="s">
        <v>168</v>
      </c>
      <c r="N627" s="7"/>
      <c r="O627" s="7"/>
    </row>
    <row r="628">
      <c r="A628" s="9" t="s">
        <v>9</v>
      </c>
      <c r="B628" s="23">
        <v>45995.0</v>
      </c>
      <c r="C628" s="9" t="s">
        <v>92</v>
      </c>
      <c r="D628" s="9" t="s">
        <v>447</v>
      </c>
      <c r="E628" s="15">
        <v>150.0</v>
      </c>
      <c r="F628" s="22"/>
      <c r="G628" s="9" t="s">
        <v>447</v>
      </c>
      <c r="H628" s="17" t="s">
        <v>436</v>
      </c>
      <c r="N628" s="7"/>
      <c r="O628" s="7"/>
    </row>
    <row r="629">
      <c r="A629" s="9" t="s">
        <v>9</v>
      </c>
      <c r="B629" s="23">
        <v>46000.0</v>
      </c>
      <c r="C629" s="9" t="s">
        <v>10</v>
      </c>
      <c r="D629" s="9" t="s">
        <v>449</v>
      </c>
      <c r="E629" s="107"/>
      <c r="F629" s="22"/>
      <c r="G629" s="9" t="s">
        <v>450</v>
      </c>
      <c r="H629" s="20"/>
      <c r="N629" s="7"/>
      <c r="O629" s="7"/>
    </row>
    <row r="630">
      <c r="A630" s="9" t="s">
        <v>9</v>
      </c>
      <c r="B630" s="23">
        <v>46000.0</v>
      </c>
      <c r="C630" s="9" t="s">
        <v>92</v>
      </c>
      <c r="D630" s="9" t="s">
        <v>469</v>
      </c>
      <c r="E630" s="15">
        <v>143.6</v>
      </c>
      <c r="F630" s="22"/>
      <c r="G630" s="9" t="s">
        <v>470</v>
      </c>
      <c r="H630" s="20"/>
      <c r="N630" s="7"/>
      <c r="O630" s="7"/>
    </row>
    <row r="631">
      <c r="A631" s="9" t="s">
        <v>9</v>
      </c>
      <c r="B631" s="23">
        <v>46000.0</v>
      </c>
      <c r="C631" s="9" t="s">
        <v>10</v>
      </c>
      <c r="D631" s="9" t="s">
        <v>453</v>
      </c>
      <c r="E631" s="107"/>
      <c r="F631" s="22"/>
      <c r="G631" s="9" t="s">
        <v>454</v>
      </c>
      <c r="H631" s="20"/>
      <c r="N631" s="7"/>
      <c r="O631" s="7"/>
    </row>
    <row r="632">
      <c r="A632" s="9" t="s">
        <v>9</v>
      </c>
      <c r="B632" s="23">
        <v>46000.0</v>
      </c>
      <c r="C632" s="9" t="s">
        <v>10</v>
      </c>
      <c r="D632" s="9" t="s">
        <v>457</v>
      </c>
      <c r="E632" s="107"/>
      <c r="F632" s="22"/>
      <c r="G632" s="9" t="s">
        <v>458</v>
      </c>
      <c r="H632" s="20"/>
      <c r="N632" s="7"/>
      <c r="O632" s="7"/>
    </row>
    <row r="633">
      <c r="A633" s="9" t="s">
        <v>9</v>
      </c>
      <c r="B633" s="23">
        <v>46003.0</v>
      </c>
      <c r="C633" s="9" t="s">
        <v>10</v>
      </c>
      <c r="D633" s="9" t="s">
        <v>461</v>
      </c>
      <c r="E633" s="15">
        <v>140.32</v>
      </c>
      <c r="F633" s="22"/>
      <c r="G633" s="9" t="s">
        <v>462</v>
      </c>
      <c r="H633" s="20"/>
      <c r="N633" s="7"/>
      <c r="O633" s="7"/>
    </row>
    <row r="634">
      <c r="A634" s="9" t="s">
        <v>9</v>
      </c>
      <c r="B634" s="23">
        <v>46003.0</v>
      </c>
      <c r="C634" s="9" t="s">
        <v>92</v>
      </c>
      <c r="D634" s="9" t="s">
        <v>480</v>
      </c>
      <c r="E634" s="15">
        <v>157.2</v>
      </c>
      <c r="F634" s="22"/>
      <c r="G634" s="9" t="s">
        <v>481</v>
      </c>
      <c r="H634" s="20"/>
      <c r="N634" s="7"/>
      <c r="O634" s="7"/>
    </row>
    <row r="635">
      <c r="A635" s="9" t="s">
        <v>9</v>
      </c>
      <c r="B635" s="23">
        <v>46003.0</v>
      </c>
      <c r="C635" s="9" t="s">
        <v>92</v>
      </c>
      <c r="D635" s="9" t="s">
        <v>484</v>
      </c>
      <c r="E635" s="15">
        <v>120.68</v>
      </c>
      <c r="F635" s="22"/>
      <c r="G635" s="9" t="s">
        <v>485</v>
      </c>
      <c r="H635" s="20"/>
      <c r="N635" s="7"/>
      <c r="O635" s="7"/>
    </row>
    <row r="636">
      <c r="A636" s="9" t="s">
        <v>9</v>
      </c>
      <c r="B636" s="23">
        <v>46003.0</v>
      </c>
      <c r="C636" s="9" t="s">
        <v>10</v>
      </c>
      <c r="D636" s="9" t="s">
        <v>488</v>
      </c>
      <c r="E636" s="15">
        <v>140.3</v>
      </c>
      <c r="F636" s="22"/>
      <c r="G636" s="9" t="s">
        <v>489</v>
      </c>
      <c r="H636" s="20"/>
      <c r="N636" s="7"/>
      <c r="O636" s="7"/>
    </row>
    <row r="637">
      <c r="A637" s="9" t="s">
        <v>9</v>
      </c>
      <c r="B637" s="23">
        <v>46003.0</v>
      </c>
      <c r="C637" s="9" t="s">
        <v>190</v>
      </c>
      <c r="D637" s="9" t="s">
        <v>593</v>
      </c>
      <c r="E637" s="15">
        <v>31.0</v>
      </c>
      <c r="F637" s="22"/>
      <c r="H637" s="20"/>
      <c r="N637" s="7"/>
      <c r="O637" s="7"/>
    </row>
    <row r="638">
      <c r="A638" s="9" t="s">
        <v>9</v>
      </c>
      <c r="B638" s="23">
        <v>46006.0</v>
      </c>
      <c r="C638" s="9" t="s">
        <v>189</v>
      </c>
      <c r="D638" s="9" t="s">
        <v>597</v>
      </c>
      <c r="E638" s="15">
        <v>40.0</v>
      </c>
      <c r="F638" s="22"/>
      <c r="H638" s="20"/>
      <c r="N638" s="7"/>
      <c r="O638" s="7"/>
    </row>
    <row r="639">
      <c r="A639" s="9" t="s">
        <v>9</v>
      </c>
      <c r="B639" s="23">
        <v>46006.0</v>
      </c>
      <c r="C639" s="9" t="s">
        <v>10</v>
      </c>
      <c r="D639" s="9" t="s">
        <v>600</v>
      </c>
      <c r="E639" s="15">
        <v>139.33</v>
      </c>
      <c r="F639" s="22"/>
      <c r="H639" s="20"/>
      <c r="N639" s="7"/>
      <c r="O639" s="7"/>
    </row>
    <row r="640">
      <c r="A640" s="9" t="s">
        <v>9</v>
      </c>
      <c r="B640" s="23">
        <v>46006.0</v>
      </c>
      <c r="C640" s="9" t="s">
        <v>10</v>
      </c>
      <c r="D640" s="9" t="s">
        <v>604</v>
      </c>
      <c r="E640" s="15">
        <v>130.0</v>
      </c>
      <c r="F640" s="22"/>
      <c r="H640" s="20"/>
      <c r="N640" s="7"/>
      <c r="O640" s="7"/>
    </row>
    <row r="641">
      <c r="A641" s="9" t="s">
        <v>9</v>
      </c>
      <c r="B641" s="23">
        <v>46009.0</v>
      </c>
      <c r="C641" s="9" t="s">
        <v>190</v>
      </c>
      <c r="D641" s="9" t="s">
        <v>682</v>
      </c>
      <c r="E641" s="15">
        <v>39.68</v>
      </c>
      <c r="F641" s="22"/>
      <c r="H641" s="20"/>
      <c r="N641" s="7"/>
      <c r="O641" s="7"/>
    </row>
    <row r="642">
      <c r="A642" s="9" t="s">
        <v>9</v>
      </c>
      <c r="B642" s="23">
        <v>46009.0</v>
      </c>
      <c r="C642" s="9" t="s">
        <v>92</v>
      </c>
      <c r="D642" s="9" t="s">
        <v>684</v>
      </c>
      <c r="E642" s="15">
        <v>153.0</v>
      </c>
      <c r="F642" s="22"/>
      <c r="H642" s="20"/>
      <c r="N642" s="7"/>
      <c r="O642" s="7"/>
    </row>
    <row r="643">
      <c r="A643" s="9" t="s">
        <v>9</v>
      </c>
      <c r="B643" s="23">
        <v>46009.0</v>
      </c>
      <c r="C643" s="9" t="s">
        <v>10</v>
      </c>
      <c r="D643" s="9" t="s">
        <v>698</v>
      </c>
      <c r="E643" s="15">
        <v>142.0</v>
      </c>
      <c r="F643" s="22"/>
      <c r="H643" s="20"/>
      <c r="N643" s="7"/>
      <c r="O643" s="7"/>
    </row>
    <row r="644">
      <c r="A644" s="9" t="s">
        <v>9</v>
      </c>
      <c r="B644" s="23">
        <v>46009.0</v>
      </c>
      <c r="C644" s="9" t="s">
        <v>10</v>
      </c>
      <c r="D644" s="9" t="s">
        <v>447</v>
      </c>
      <c r="E644" s="15">
        <v>144.12</v>
      </c>
      <c r="F644" s="22"/>
      <c r="H644" s="20"/>
      <c r="N644" s="7"/>
      <c r="O644" s="7"/>
    </row>
    <row r="645">
      <c r="A645" s="9" t="s">
        <v>9</v>
      </c>
      <c r="B645" s="23">
        <v>46014.0</v>
      </c>
      <c r="C645" s="9" t="s">
        <v>10</v>
      </c>
      <c r="D645" s="9" t="s">
        <v>449</v>
      </c>
      <c r="E645" s="15">
        <v>283.97</v>
      </c>
      <c r="F645" s="22"/>
      <c r="H645" s="20"/>
      <c r="N645" s="7"/>
      <c r="O645" s="7"/>
    </row>
    <row r="646">
      <c r="A646" s="9" t="s">
        <v>9</v>
      </c>
      <c r="B646" s="23">
        <v>46014.0</v>
      </c>
      <c r="C646" s="9" t="s">
        <v>189</v>
      </c>
      <c r="D646" s="9" t="s">
        <v>469</v>
      </c>
      <c r="E646" s="15">
        <v>22.23</v>
      </c>
      <c r="F646" s="22"/>
      <c r="H646" s="20"/>
      <c r="N646" s="7"/>
      <c r="O646" s="7"/>
    </row>
    <row r="647">
      <c r="A647" s="9" t="s">
        <v>9</v>
      </c>
      <c r="B647" s="23">
        <v>46014.0</v>
      </c>
      <c r="C647" s="9" t="s">
        <v>190</v>
      </c>
      <c r="D647" s="9" t="s">
        <v>453</v>
      </c>
      <c r="E647" s="15">
        <v>82.0</v>
      </c>
      <c r="F647" s="22"/>
      <c r="H647" s="20"/>
      <c r="N647" s="7"/>
      <c r="O647" s="7"/>
    </row>
    <row r="648">
      <c r="A648" s="9" t="s">
        <v>9</v>
      </c>
      <c r="B648" s="23">
        <v>46021.0</v>
      </c>
      <c r="C648" s="9" t="s">
        <v>190</v>
      </c>
      <c r="D648" s="9" t="s">
        <v>457</v>
      </c>
      <c r="E648" s="15">
        <v>52.69</v>
      </c>
      <c r="F648" s="22"/>
      <c r="H648" s="20"/>
      <c r="N648" s="7"/>
      <c r="O648" s="7"/>
    </row>
    <row r="649">
      <c r="A649" s="111" t="s">
        <v>700</v>
      </c>
      <c r="N649" s="7"/>
      <c r="O649" s="7"/>
    </row>
    <row r="650">
      <c r="A650" s="9" t="s">
        <v>47</v>
      </c>
      <c r="B650" s="21">
        <v>46028.0</v>
      </c>
      <c r="C650" s="9" t="s">
        <v>190</v>
      </c>
      <c r="D650" s="9" t="s">
        <v>488</v>
      </c>
      <c r="E650" s="15">
        <v>115.3</v>
      </c>
      <c r="F650" s="18" t="s">
        <v>474</v>
      </c>
      <c r="G650" s="18" t="s">
        <v>474</v>
      </c>
      <c r="H650" s="20"/>
      <c r="N650" s="7"/>
      <c r="O650" s="7"/>
    </row>
    <row r="651">
      <c r="A651" s="9" t="s">
        <v>47</v>
      </c>
      <c r="B651" s="21">
        <v>46028.0</v>
      </c>
      <c r="C651" s="9" t="s">
        <v>10</v>
      </c>
      <c r="D651" s="9" t="s">
        <v>597</v>
      </c>
      <c r="E651" s="15">
        <v>110.03</v>
      </c>
      <c r="F651" s="18" t="s">
        <v>474</v>
      </c>
      <c r="G651" s="18" t="s">
        <v>474</v>
      </c>
      <c r="H651" s="20"/>
      <c r="N651" s="7"/>
      <c r="O651" s="7"/>
    </row>
    <row r="652">
      <c r="A652" s="9" t="s">
        <v>47</v>
      </c>
      <c r="B652" s="21">
        <v>46028.0</v>
      </c>
      <c r="C652" s="9" t="s">
        <v>10</v>
      </c>
      <c r="D652" s="9" t="s">
        <v>447</v>
      </c>
      <c r="E652" s="15">
        <v>106.94</v>
      </c>
      <c r="F652" s="18" t="s">
        <v>21</v>
      </c>
      <c r="G652" s="18" t="s">
        <v>21</v>
      </c>
      <c r="H652" s="20"/>
      <c r="N652" s="7"/>
      <c r="O652" s="7"/>
    </row>
    <row r="653">
      <c r="A653" s="9" t="s">
        <v>50</v>
      </c>
      <c r="B653" s="21">
        <v>46031.0</v>
      </c>
      <c r="C653" s="9" t="s">
        <v>10</v>
      </c>
      <c r="D653" s="9" t="s">
        <v>449</v>
      </c>
      <c r="E653" s="15">
        <v>112.35</v>
      </c>
      <c r="F653" s="18" t="s">
        <v>425</v>
      </c>
      <c r="G653" s="18" t="s">
        <v>425</v>
      </c>
      <c r="H653" s="20"/>
      <c r="N653" s="7"/>
      <c r="O653" s="7"/>
    </row>
    <row r="654">
      <c r="A654" s="9" t="s">
        <v>50</v>
      </c>
      <c r="B654" s="21">
        <v>46031.0</v>
      </c>
      <c r="C654" s="9" t="s">
        <v>190</v>
      </c>
      <c r="D654" s="9" t="s">
        <v>469</v>
      </c>
      <c r="E654" s="15">
        <v>87.33</v>
      </c>
      <c r="F654" s="18" t="s">
        <v>612</v>
      </c>
      <c r="G654" s="18" t="s">
        <v>612</v>
      </c>
      <c r="H654" s="20"/>
      <c r="N654" s="7"/>
      <c r="O654" s="7"/>
    </row>
    <row r="655">
      <c r="A655" s="9" t="s">
        <v>701</v>
      </c>
      <c r="B655" s="21">
        <v>46037.0</v>
      </c>
      <c r="C655" s="9" t="s">
        <v>193</v>
      </c>
      <c r="D655" s="9" t="s">
        <v>604</v>
      </c>
      <c r="E655" s="15">
        <v>22.95</v>
      </c>
      <c r="F655" s="18" t="s">
        <v>422</v>
      </c>
      <c r="G655" s="18" t="s">
        <v>422</v>
      </c>
      <c r="H655" s="17" t="s">
        <v>702</v>
      </c>
      <c r="N655" s="7"/>
      <c r="O655" s="7"/>
    </row>
    <row r="656">
      <c r="A656" s="9" t="s">
        <v>701</v>
      </c>
      <c r="B656" s="21">
        <v>46037.0</v>
      </c>
      <c r="C656" s="9" t="s">
        <v>193</v>
      </c>
      <c r="D656" s="9" t="s">
        <v>600</v>
      </c>
      <c r="E656" s="15">
        <v>23.5</v>
      </c>
      <c r="F656" s="18" t="s">
        <v>422</v>
      </c>
      <c r="G656" s="18" t="s">
        <v>422</v>
      </c>
      <c r="H656" s="17" t="s">
        <v>703</v>
      </c>
      <c r="N656" s="7"/>
      <c r="O656" s="7"/>
    </row>
    <row r="657">
      <c r="A657" s="9" t="s">
        <v>701</v>
      </c>
      <c r="B657" s="21">
        <v>46038.0</v>
      </c>
      <c r="C657" s="9" t="s">
        <v>197</v>
      </c>
      <c r="D657" s="9" t="s">
        <v>580</v>
      </c>
      <c r="E657" s="15">
        <v>68.36</v>
      </c>
      <c r="F657" s="18" t="s">
        <v>422</v>
      </c>
      <c r="G657" s="18" t="s">
        <v>422</v>
      </c>
      <c r="H657" s="17" t="s">
        <v>704</v>
      </c>
      <c r="N657" s="7"/>
      <c r="O657" s="7"/>
    </row>
    <row r="658">
      <c r="A658" s="9" t="s">
        <v>701</v>
      </c>
      <c r="B658" s="21">
        <v>46038.0</v>
      </c>
      <c r="C658" s="9" t="s">
        <v>92</v>
      </c>
      <c r="D658" s="9"/>
      <c r="E658" s="15">
        <v>183.3</v>
      </c>
      <c r="F658" s="18"/>
      <c r="G658" s="18"/>
      <c r="H658" s="17"/>
      <c r="N658" s="7"/>
      <c r="O658" s="7"/>
    </row>
    <row r="659">
      <c r="A659" s="9" t="s">
        <v>701</v>
      </c>
      <c r="B659" s="21">
        <v>46041.0</v>
      </c>
      <c r="C659" s="9" t="s">
        <v>193</v>
      </c>
      <c r="D659" s="9" t="s">
        <v>684</v>
      </c>
      <c r="E659" s="15">
        <v>104.51</v>
      </c>
      <c r="F659" s="18" t="s">
        <v>422</v>
      </c>
      <c r="G659" s="18" t="s">
        <v>422</v>
      </c>
      <c r="H659" s="17" t="s">
        <v>705</v>
      </c>
      <c r="N659" s="7"/>
      <c r="O659" s="7"/>
    </row>
    <row r="660">
      <c r="A660" s="9" t="s">
        <v>701</v>
      </c>
      <c r="B660" s="21">
        <v>46041.0</v>
      </c>
      <c r="C660" s="9" t="s">
        <v>706</v>
      </c>
      <c r="D660" s="9" t="s">
        <v>593</v>
      </c>
      <c r="E660" s="15">
        <v>120.3</v>
      </c>
      <c r="F660" s="18" t="s">
        <v>422</v>
      </c>
      <c r="G660" s="18" t="s">
        <v>422</v>
      </c>
      <c r="H660" s="17" t="s">
        <v>707</v>
      </c>
      <c r="N660" s="7"/>
      <c r="O660" s="7"/>
    </row>
    <row r="661">
      <c r="A661" s="9" t="s">
        <v>50</v>
      </c>
      <c r="B661" s="21">
        <v>46041.0</v>
      </c>
      <c r="C661" s="9" t="s">
        <v>10</v>
      </c>
      <c r="D661" s="9" t="s">
        <v>447</v>
      </c>
      <c r="E661" s="15">
        <v>83.7</v>
      </c>
      <c r="F661" s="18" t="s">
        <v>30</v>
      </c>
      <c r="G661" s="18" t="s">
        <v>30</v>
      </c>
      <c r="H661" s="17" t="s">
        <v>708</v>
      </c>
      <c r="I661" s="14" t="s">
        <v>709</v>
      </c>
      <c r="N661" s="7"/>
      <c r="O661" s="7"/>
    </row>
    <row r="662">
      <c r="A662" s="9" t="s">
        <v>50</v>
      </c>
      <c r="B662" s="21">
        <v>46041.0</v>
      </c>
      <c r="C662" s="9" t="s">
        <v>10</v>
      </c>
      <c r="D662" s="9" t="s">
        <v>449</v>
      </c>
      <c r="E662" s="15">
        <v>109.03</v>
      </c>
      <c r="F662" s="18" t="s">
        <v>79</v>
      </c>
      <c r="G662" s="18" t="s">
        <v>79</v>
      </c>
      <c r="H662" s="17" t="s">
        <v>710</v>
      </c>
      <c r="N662" s="7"/>
      <c r="O662" s="7"/>
    </row>
    <row r="663">
      <c r="A663" s="9" t="s">
        <v>50</v>
      </c>
      <c r="B663" s="21">
        <v>46041.0</v>
      </c>
      <c r="C663" s="9" t="s">
        <v>193</v>
      </c>
      <c r="D663" s="9" t="s">
        <v>469</v>
      </c>
      <c r="E663" s="15">
        <v>100.05</v>
      </c>
      <c r="F663" s="18" t="s">
        <v>30</v>
      </c>
      <c r="G663" s="18" t="s">
        <v>30</v>
      </c>
      <c r="H663" s="17" t="s">
        <v>708</v>
      </c>
      <c r="N663" s="7"/>
      <c r="O663" s="7"/>
    </row>
    <row r="664">
      <c r="A664" s="9" t="s">
        <v>688</v>
      </c>
      <c r="B664" s="21">
        <v>46043.0</v>
      </c>
      <c r="C664" s="9" t="s">
        <v>197</v>
      </c>
      <c r="D664" s="9" t="s">
        <v>447</v>
      </c>
      <c r="E664" s="15">
        <v>97.0</v>
      </c>
      <c r="F664" s="18" t="s">
        <v>123</v>
      </c>
      <c r="G664" s="18" t="s">
        <v>123</v>
      </c>
      <c r="H664" s="17" t="s">
        <v>711</v>
      </c>
      <c r="N664" s="7"/>
      <c r="O664" s="7"/>
    </row>
    <row r="665">
      <c r="A665" s="9" t="s">
        <v>688</v>
      </c>
      <c r="B665" s="21">
        <v>46043.0</v>
      </c>
      <c r="C665" s="9" t="s">
        <v>10</v>
      </c>
      <c r="D665" s="9" t="s">
        <v>597</v>
      </c>
      <c r="E665" s="15">
        <v>120.35</v>
      </c>
      <c r="F665" s="18" t="s">
        <v>61</v>
      </c>
      <c r="G665" s="18" t="s">
        <v>61</v>
      </c>
      <c r="H665" s="17" t="s">
        <v>664</v>
      </c>
      <c r="N665" s="7"/>
      <c r="O665" s="7"/>
    </row>
    <row r="666">
      <c r="A666" s="9" t="s">
        <v>688</v>
      </c>
      <c r="B666" s="21">
        <v>46043.0</v>
      </c>
      <c r="C666" s="9" t="s">
        <v>193</v>
      </c>
      <c r="D666" s="9" t="s">
        <v>457</v>
      </c>
      <c r="E666" s="15">
        <v>78.0</v>
      </c>
      <c r="F666" s="18" t="s">
        <v>712</v>
      </c>
      <c r="G666" s="18" t="s">
        <v>712</v>
      </c>
      <c r="H666" s="17" t="s">
        <v>713</v>
      </c>
      <c r="N666" s="7"/>
      <c r="O666" s="7"/>
    </row>
    <row r="667">
      <c r="A667" s="9" t="s">
        <v>50</v>
      </c>
      <c r="B667" s="21">
        <v>46044.0</v>
      </c>
      <c r="C667" s="9" t="s">
        <v>197</v>
      </c>
      <c r="D667" s="9" t="s">
        <v>461</v>
      </c>
      <c r="E667" s="15">
        <v>58.8</v>
      </c>
      <c r="F667" s="18" t="s">
        <v>422</v>
      </c>
      <c r="G667" s="18" t="s">
        <v>422</v>
      </c>
      <c r="H667" s="17" t="s">
        <v>714</v>
      </c>
      <c r="N667" s="7"/>
      <c r="O667" s="7"/>
    </row>
    <row r="668">
      <c r="A668" s="9" t="s">
        <v>50</v>
      </c>
      <c r="B668" s="21">
        <v>46044.0</v>
      </c>
      <c r="C668" s="9" t="s">
        <v>10</v>
      </c>
      <c r="D668" s="9" t="s">
        <v>447</v>
      </c>
      <c r="E668" s="15">
        <v>108.3</v>
      </c>
      <c r="F668" s="18"/>
      <c r="G668" s="18"/>
      <c r="H668" s="17" t="s">
        <v>696</v>
      </c>
      <c r="N668" s="7"/>
      <c r="O668" s="7"/>
    </row>
    <row r="669">
      <c r="A669" s="9" t="s">
        <v>715</v>
      </c>
      <c r="B669" s="21">
        <v>46045.0</v>
      </c>
      <c r="C669" s="9" t="s">
        <v>193</v>
      </c>
      <c r="D669" s="9" t="s">
        <v>590</v>
      </c>
      <c r="E669" s="15">
        <v>86.32</v>
      </c>
      <c r="F669" s="18" t="s">
        <v>422</v>
      </c>
      <c r="G669" s="18" t="s">
        <v>422</v>
      </c>
      <c r="H669" s="17" t="s">
        <v>716</v>
      </c>
      <c r="N669" s="7"/>
      <c r="O669" s="7"/>
    </row>
    <row r="670">
      <c r="A670" s="9" t="s">
        <v>50</v>
      </c>
      <c r="B670" s="21">
        <v>46048.0</v>
      </c>
      <c r="C670" s="9" t="s">
        <v>193</v>
      </c>
      <c r="D670" s="9" t="s">
        <v>461</v>
      </c>
      <c r="E670" s="15">
        <v>75.93</v>
      </c>
      <c r="F670" s="22"/>
      <c r="G670" s="22"/>
      <c r="H670" s="17" t="s">
        <v>717</v>
      </c>
      <c r="N670" s="7"/>
      <c r="O670" s="7"/>
    </row>
    <row r="671">
      <c r="A671" s="9" t="s">
        <v>50</v>
      </c>
      <c r="B671" s="21">
        <v>46048.0</v>
      </c>
      <c r="C671" s="9" t="s">
        <v>194</v>
      </c>
      <c r="D671" s="9" t="s">
        <v>461</v>
      </c>
      <c r="E671" s="15">
        <v>12.7</v>
      </c>
      <c r="F671" s="22"/>
      <c r="G671" s="22"/>
      <c r="H671" s="17" t="s">
        <v>718</v>
      </c>
      <c r="N671" s="7"/>
      <c r="O671" s="7"/>
    </row>
    <row r="672">
      <c r="A672" s="9" t="s">
        <v>50</v>
      </c>
      <c r="B672" s="21">
        <v>46048.0</v>
      </c>
      <c r="C672" s="9" t="s">
        <v>197</v>
      </c>
      <c r="D672" s="9" t="s">
        <v>480</v>
      </c>
      <c r="E672" s="15">
        <v>49.5</v>
      </c>
      <c r="F672" s="22"/>
      <c r="G672" s="22"/>
      <c r="H672" s="17" t="s">
        <v>719</v>
      </c>
      <c r="N672" s="7"/>
      <c r="O672" s="7"/>
    </row>
    <row r="673">
      <c r="A673" s="9" t="s">
        <v>50</v>
      </c>
      <c r="B673" s="21">
        <v>46048.0</v>
      </c>
      <c r="C673" s="9" t="s">
        <v>706</v>
      </c>
      <c r="D673" s="9" t="s">
        <v>480</v>
      </c>
      <c r="E673" s="15">
        <v>42.35</v>
      </c>
      <c r="F673" s="22"/>
      <c r="G673" s="22"/>
      <c r="H673" s="17" t="s">
        <v>720</v>
      </c>
      <c r="N673" s="7"/>
      <c r="O673" s="7"/>
    </row>
    <row r="674">
      <c r="A674" s="9" t="s">
        <v>9</v>
      </c>
      <c r="B674" s="21">
        <v>46048.0</v>
      </c>
      <c r="C674" s="9" t="s">
        <v>193</v>
      </c>
      <c r="D674" s="9" t="s">
        <v>453</v>
      </c>
      <c r="E674" s="15">
        <v>56.57</v>
      </c>
      <c r="F674" s="22"/>
      <c r="G674" s="22"/>
      <c r="H674" s="17" t="s">
        <v>721</v>
      </c>
      <c r="N674" s="7"/>
      <c r="O674" s="7"/>
    </row>
    <row r="675">
      <c r="A675" s="9" t="s">
        <v>9</v>
      </c>
      <c r="B675" s="21">
        <v>46048.0</v>
      </c>
      <c r="C675" s="9" t="s">
        <v>197</v>
      </c>
      <c r="D675" s="9" t="s">
        <v>453</v>
      </c>
      <c r="E675" s="15">
        <v>18.95</v>
      </c>
      <c r="F675" s="22"/>
      <c r="G675" s="22"/>
      <c r="H675" s="17" t="s">
        <v>722</v>
      </c>
      <c r="N675" s="7"/>
      <c r="O675" s="7"/>
    </row>
    <row r="676">
      <c r="A676" s="9" t="s">
        <v>9</v>
      </c>
      <c r="B676" s="21">
        <v>46048.0</v>
      </c>
      <c r="C676" s="9" t="s">
        <v>706</v>
      </c>
      <c r="D676" s="9" t="s">
        <v>453</v>
      </c>
      <c r="E676" s="15">
        <v>19.34</v>
      </c>
      <c r="F676" s="22"/>
      <c r="G676" s="22"/>
      <c r="H676" s="17" t="s">
        <v>723</v>
      </c>
      <c r="N676" s="7"/>
      <c r="O676" s="7"/>
    </row>
    <row r="677">
      <c r="A677" s="9" t="s">
        <v>9</v>
      </c>
      <c r="B677" s="21">
        <v>46049.0</v>
      </c>
      <c r="C677" s="9" t="s">
        <v>706</v>
      </c>
      <c r="D677" s="9" t="s">
        <v>457</v>
      </c>
      <c r="E677" s="15">
        <v>38.55</v>
      </c>
      <c r="F677" s="22"/>
      <c r="G677" s="22"/>
      <c r="H677" s="17" t="s">
        <v>724</v>
      </c>
      <c r="N677" s="7"/>
      <c r="O677" s="7"/>
    </row>
    <row r="678">
      <c r="A678" s="9" t="s">
        <v>9</v>
      </c>
      <c r="B678" s="21">
        <v>46049.0</v>
      </c>
      <c r="C678" s="9" t="s">
        <v>193</v>
      </c>
      <c r="D678" s="9" t="s">
        <v>457</v>
      </c>
      <c r="E678" s="15">
        <v>72.19</v>
      </c>
      <c r="F678" s="22"/>
      <c r="G678" s="22"/>
      <c r="H678" s="17" t="s">
        <v>725</v>
      </c>
      <c r="N678" s="7"/>
      <c r="O678" s="7"/>
    </row>
    <row r="679">
      <c r="A679" s="9" t="s">
        <v>9</v>
      </c>
      <c r="B679" s="21">
        <v>46049.0</v>
      </c>
      <c r="C679" s="9" t="s">
        <v>197</v>
      </c>
      <c r="D679" s="9" t="s">
        <v>469</v>
      </c>
      <c r="E679" s="15">
        <v>46.1</v>
      </c>
      <c r="F679" s="22"/>
      <c r="G679" s="22"/>
      <c r="H679" s="17" t="s">
        <v>726</v>
      </c>
      <c r="N679" s="7"/>
      <c r="O679" s="7"/>
    </row>
    <row r="680">
      <c r="A680" s="9" t="s">
        <v>9</v>
      </c>
      <c r="B680" s="21">
        <v>46049.0</v>
      </c>
      <c r="C680" s="9" t="s">
        <v>190</v>
      </c>
      <c r="D680" s="9" t="s">
        <v>488</v>
      </c>
      <c r="E680" s="15">
        <v>89.35</v>
      </c>
      <c r="F680" s="22"/>
      <c r="G680" s="22"/>
      <c r="H680" s="17" t="s">
        <v>696</v>
      </c>
      <c r="N680" s="7"/>
      <c r="O680" s="7"/>
    </row>
    <row r="681">
      <c r="A681" s="9" t="s">
        <v>50</v>
      </c>
      <c r="B681" s="21">
        <v>46050.0</v>
      </c>
      <c r="C681" s="9" t="s">
        <v>10</v>
      </c>
      <c r="D681" s="9" t="s">
        <v>480</v>
      </c>
      <c r="E681" s="15">
        <v>102.36</v>
      </c>
      <c r="F681" s="22"/>
      <c r="G681" s="22"/>
      <c r="H681" s="17" t="s">
        <v>436</v>
      </c>
      <c r="N681" s="7"/>
      <c r="O681" s="7"/>
    </row>
    <row r="682">
      <c r="A682" s="9" t="s">
        <v>9</v>
      </c>
      <c r="B682" s="21">
        <v>46050.0</v>
      </c>
      <c r="C682" s="9" t="s">
        <v>193</v>
      </c>
      <c r="D682" s="9" t="s">
        <v>604</v>
      </c>
      <c r="E682" s="15">
        <v>45.44</v>
      </c>
      <c r="F682" s="22"/>
      <c r="G682" s="22"/>
      <c r="H682" s="17" t="s">
        <v>727</v>
      </c>
      <c r="N682" s="7"/>
      <c r="O682" s="7"/>
    </row>
    <row r="683">
      <c r="A683" s="9" t="s">
        <v>9</v>
      </c>
      <c r="B683" s="21">
        <v>46050.0</v>
      </c>
      <c r="C683" s="9" t="s">
        <v>197</v>
      </c>
      <c r="D683" s="9" t="s">
        <v>684</v>
      </c>
      <c r="E683" s="15">
        <v>81.41</v>
      </c>
      <c r="F683" s="22"/>
      <c r="G683" s="22"/>
      <c r="H683" s="17" t="s">
        <v>728</v>
      </c>
      <c r="N683" s="7"/>
      <c r="O683" s="7"/>
    </row>
    <row r="684">
      <c r="A684" s="9" t="s">
        <v>9</v>
      </c>
      <c r="B684" s="21">
        <v>46050.0</v>
      </c>
      <c r="C684" s="9" t="s">
        <v>706</v>
      </c>
      <c r="D684" s="9" t="s">
        <v>604</v>
      </c>
      <c r="E684" s="15">
        <v>37.23</v>
      </c>
      <c r="F684" s="22"/>
      <c r="G684" s="22"/>
      <c r="H684" s="17" t="s">
        <v>729</v>
      </c>
      <c r="N684" s="7"/>
      <c r="O684" s="7"/>
    </row>
    <row r="685">
      <c r="A685" s="9" t="s">
        <v>9</v>
      </c>
      <c r="B685" s="21">
        <v>46051.0</v>
      </c>
      <c r="C685" s="9" t="s">
        <v>193</v>
      </c>
      <c r="D685" s="9" t="s">
        <v>600</v>
      </c>
      <c r="E685" s="15">
        <v>46.5</v>
      </c>
      <c r="F685" s="22"/>
      <c r="G685" s="22"/>
      <c r="H685" s="17" t="s">
        <v>730</v>
      </c>
      <c r="N685" s="7"/>
      <c r="O685" s="7"/>
    </row>
    <row r="686">
      <c r="A686" s="9" t="s">
        <v>9</v>
      </c>
      <c r="B686" s="21">
        <v>46051.0</v>
      </c>
      <c r="C686" s="9" t="s">
        <v>706</v>
      </c>
      <c r="D686" s="9" t="s">
        <v>600</v>
      </c>
      <c r="E686" s="15">
        <v>26.8</v>
      </c>
      <c r="F686" s="22"/>
      <c r="G686" s="22"/>
      <c r="H686" s="17" t="s">
        <v>731</v>
      </c>
      <c r="N686" s="7"/>
      <c r="O686" s="7"/>
    </row>
    <row r="687">
      <c r="A687" s="9" t="s">
        <v>9</v>
      </c>
      <c r="B687" s="21">
        <v>46051.0</v>
      </c>
      <c r="C687" s="9" t="s">
        <v>197</v>
      </c>
      <c r="D687" s="9" t="s">
        <v>600</v>
      </c>
      <c r="E687" s="15">
        <v>23.12</v>
      </c>
      <c r="F687" s="22"/>
      <c r="G687" s="22"/>
      <c r="H687" s="17" t="s">
        <v>732</v>
      </c>
      <c r="N687" s="7"/>
      <c r="O687" s="7"/>
    </row>
    <row r="688">
      <c r="A688" s="9" t="s">
        <v>9</v>
      </c>
      <c r="B688" s="21">
        <v>46051.0</v>
      </c>
      <c r="C688" s="9" t="s">
        <v>10</v>
      </c>
      <c r="D688" s="9" t="s">
        <v>604</v>
      </c>
      <c r="E688" s="15">
        <v>101.23</v>
      </c>
      <c r="F688" s="22"/>
      <c r="G688" s="22"/>
      <c r="H688" s="17" t="s">
        <v>436</v>
      </c>
      <c r="N688" s="7"/>
      <c r="O688" s="7"/>
    </row>
    <row r="689">
      <c r="A689" s="9" t="s">
        <v>9</v>
      </c>
      <c r="B689" s="21">
        <v>46052.0</v>
      </c>
      <c r="C689" s="9" t="s">
        <v>706</v>
      </c>
      <c r="D689" s="9" t="s">
        <v>461</v>
      </c>
      <c r="E689" s="15">
        <v>29.1</v>
      </c>
      <c r="F689" s="22"/>
      <c r="G689" s="22"/>
      <c r="H689" s="17" t="s">
        <v>733</v>
      </c>
      <c r="N689" s="7"/>
      <c r="O689" s="7"/>
    </row>
    <row r="690">
      <c r="A690" s="9" t="s">
        <v>9</v>
      </c>
      <c r="B690" s="21">
        <v>46052.0</v>
      </c>
      <c r="C690" s="9" t="s">
        <v>197</v>
      </c>
      <c r="D690" s="9" t="s">
        <v>461</v>
      </c>
      <c r="E690" s="15">
        <v>28.36</v>
      </c>
      <c r="F690" s="22"/>
      <c r="G690" s="22"/>
      <c r="H690" s="17" t="s">
        <v>734</v>
      </c>
      <c r="N690" s="7"/>
      <c r="O690" s="7"/>
    </row>
    <row r="691">
      <c r="A691" s="9" t="s">
        <v>9</v>
      </c>
      <c r="B691" s="21">
        <v>46052.0</v>
      </c>
      <c r="C691" s="9" t="s">
        <v>193</v>
      </c>
      <c r="D691" s="9" t="s">
        <v>484</v>
      </c>
      <c r="E691" s="15">
        <v>89.63</v>
      </c>
      <c r="F691" s="22"/>
      <c r="G691" s="22"/>
      <c r="H691" s="17" t="s">
        <v>735</v>
      </c>
      <c r="N691" s="7"/>
      <c r="O691" s="7"/>
    </row>
    <row r="692">
      <c r="A692" s="9" t="s">
        <v>9</v>
      </c>
      <c r="B692" s="21">
        <v>46052.0</v>
      </c>
      <c r="C692" s="9" t="s">
        <v>193</v>
      </c>
      <c r="D692" s="9" t="s">
        <v>469</v>
      </c>
      <c r="E692" s="15">
        <v>78.89</v>
      </c>
      <c r="F692" s="22"/>
      <c r="H692" s="17" t="s">
        <v>736</v>
      </c>
      <c r="N692" s="7"/>
      <c r="O692" s="7"/>
    </row>
    <row r="693">
      <c r="A693" s="9" t="s">
        <v>9</v>
      </c>
      <c r="B693" s="21">
        <v>46052.0</v>
      </c>
      <c r="C693" s="9" t="s">
        <v>194</v>
      </c>
      <c r="D693" s="9" t="s">
        <v>453</v>
      </c>
      <c r="E693" s="15">
        <v>35.7</v>
      </c>
      <c r="F693" s="22"/>
      <c r="H693" s="17" t="s">
        <v>133</v>
      </c>
      <c r="N693" s="7"/>
      <c r="O693" s="7"/>
    </row>
    <row r="694">
      <c r="A694" s="9" t="s">
        <v>9</v>
      </c>
      <c r="B694" s="21">
        <v>46055.0</v>
      </c>
      <c r="C694" s="9" t="s">
        <v>193</v>
      </c>
      <c r="D694" s="9" t="s">
        <v>580</v>
      </c>
      <c r="E694" s="15">
        <v>102.2</v>
      </c>
      <c r="F694" s="22"/>
      <c r="H694" s="17" t="s">
        <v>737</v>
      </c>
      <c r="N694" s="7"/>
      <c r="O694" s="7"/>
    </row>
    <row r="695">
      <c r="A695" s="9" t="s">
        <v>9</v>
      </c>
      <c r="B695" s="21">
        <v>46055.0</v>
      </c>
      <c r="C695" s="9" t="s">
        <v>197</v>
      </c>
      <c r="D695" s="9" t="s">
        <v>584</v>
      </c>
      <c r="E695" s="15">
        <v>79.2</v>
      </c>
      <c r="F695" s="22"/>
      <c r="H695" s="17" t="s">
        <v>696</v>
      </c>
      <c r="N695" s="7"/>
      <c r="O695" s="7"/>
    </row>
    <row r="696">
      <c r="A696" s="9" t="s">
        <v>9</v>
      </c>
      <c r="B696" s="21">
        <v>46055.0</v>
      </c>
      <c r="C696" s="9" t="s">
        <v>706</v>
      </c>
      <c r="D696" s="9" t="s">
        <v>590</v>
      </c>
      <c r="E696" s="15">
        <v>72.5</v>
      </c>
      <c r="F696" s="22"/>
      <c r="H696" s="17" t="s">
        <v>664</v>
      </c>
      <c r="N696" s="7"/>
      <c r="O696" s="7"/>
    </row>
    <row r="697">
      <c r="A697" s="9" t="s">
        <v>9</v>
      </c>
      <c r="B697" s="21">
        <v>46055.0</v>
      </c>
      <c r="C697" s="9" t="s">
        <v>193</v>
      </c>
      <c r="D697" s="9" t="s">
        <v>593</v>
      </c>
      <c r="E697" s="15">
        <v>106.07</v>
      </c>
      <c r="F697" s="22"/>
      <c r="H697" s="17" t="s">
        <v>664</v>
      </c>
      <c r="N697" s="7"/>
      <c r="O697" s="7"/>
    </row>
    <row r="698">
      <c r="A698" s="9" t="s">
        <v>50</v>
      </c>
      <c r="B698" s="21">
        <v>46055.0</v>
      </c>
      <c r="C698" s="9" t="s">
        <v>193</v>
      </c>
      <c r="D698" s="9" t="s">
        <v>590</v>
      </c>
      <c r="E698" s="15">
        <v>47.93</v>
      </c>
      <c r="F698" s="22"/>
      <c r="H698" s="17" t="s">
        <v>738</v>
      </c>
      <c r="N698" s="7"/>
      <c r="O698" s="7"/>
    </row>
    <row r="699">
      <c r="A699" s="9" t="s">
        <v>715</v>
      </c>
      <c r="B699" s="21">
        <v>46056.0</v>
      </c>
      <c r="C699" s="9" t="s">
        <v>193</v>
      </c>
      <c r="D699" s="9" t="s">
        <v>600</v>
      </c>
      <c r="E699" s="15">
        <v>78.15</v>
      </c>
      <c r="F699" s="22"/>
      <c r="H699" s="17" t="s">
        <v>739</v>
      </c>
      <c r="N699" s="7"/>
      <c r="O699" s="7"/>
    </row>
    <row r="700">
      <c r="A700" s="9" t="s">
        <v>9</v>
      </c>
      <c r="B700" s="21">
        <v>46056.0</v>
      </c>
      <c r="C700" s="9" t="s">
        <v>197</v>
      </c>
      <c r="D700" s="9" t="s">
        <v>600</v>
      </c>
      <c r="E700" s="15">
        <v>28.98</v>
      </c>
      <c r="F700" s="22"/>
      <c r="H700" s="17" t="s">
        <v>740</v>
      </c>
      <c r="N700" s="7"/>
      <c r="O700" s="7"/>
    </row>
    <row r="701">
      <c r="A701" s="9" t="s">
        <v>741</v>
      </c>
      <c r="B701" s="21">
        <v>46057.0</v>
      </c>
      <c r="C701" s="9" t="s">
        <v>197</v>
      </c>
      <c r="D701" s="9" t="s">
        <v>484</v>
      </c>
      <c r="E701" s="15">
        <v>14.68</v>
      </c>
      <c r="F701" s="22"/>
      <c r="H701" s="17" t="s">
        <v>673</v>
      </c>
      <c r="N701" s="7"/>
      <c r="O701" s="7"/>
    </row>
    <row r="702">
      <c r="A702" s="9" t="s">
        <v>741</v>
      </c>
      <c r="B702" s="21">
        <v>46057.0</v>
      </c>
      <c r="C702" s="9" t="s">
        <v>190</v>
      </c>
      <c r="D702" s="9" t="s">
        <v>484</v>
      </c>
      <c r="E702" s="15">
        <v>30.88</v>
      </c>
      <c r="F702" s="22"/>
      <c r="H702" s="17" t="s">
        <v>673</v>
      </c>
      <c r="N702" s="7"/>
      <c r="O702" s="7"/>
    </row>
    <row r="703">
      <c r="A703" s="9" t="s">
        <v>741</v>
      </c>
      <c r="B703" s="21">
        <v>46057.0</v>
      </c>
      <c r="C703" s="9" t="s">
        <v>193</v>
      </c>
      <c r="D703" s="9" t="s">
        <v>484</v>
      </c>
      <c r="E703" s="15">
        <v>32.58</v>
      </c>
      <c r="F703" s="22"/>
      <c r="H703" s="17" t="s">
        <v>133</v>
      </c>
      <c r="N703" s="7"/>
      <c r="O703" s="7"/>
    </row>
    <row r="704">
      <c r="A704" s="9" t="s">
        <v>47</v>
      </c>
      <c r="B704" s="21">
        <v>46058.0</v>
      </c>
      <c r="C704" s="9" t="s">
        <v>197</v>
      </c>
      <c r="D704" s="9" t="s">
        <v>584</v>
      </c>
      <c r="E704" s="15">
        <v>15.75</v>
      </c>
      <c r="F704" s="22"/>
      <c r="H704" s="17" t="s">
        <v>742</v>
      </c>
      <c r="N704" s="7"/>
      <c r="O704" s="7"/>
    </row>
    <row r="705">
      <c r="A705" s="9" t="s">
        <v>47</v>
      </c>
      <c r="B705" s="21">
        <v>46058.0</v>
      </c>
      <c r="C705" s="9" t="s">
        <v>193</v>
      </c>
      <c r="D705" s="9" t="s">
        <v>584</v>
      </c>
      <c r="E705" s="15">
        <v>48.55</v>
      </c>
      <c r="F705" s="22"/>
      <c r="H705" s="17" t="s">
        <v>743</v>
      </c>
      <c r="N705" s="7"/>
      <c r="O705" s="7"/>
    </row>
    <row r="706">
      <c r="A706" s="9" t="s">
        <v>47</v>
      </c>
      <c r="B706" s="21">
        <v>46058.0</v>
      </c>
      <c r="C706" s="9" t="s">
        <v>706</v>
      </c>
      <c r="D706" s="9" t="s">
        <v>584</v>
      </c>
      <c r="E706" s="15">
        <v>19.0</v>
      </c>
      <c r="F706" s="22"/>
      <c r="H706" s="17" t="s">
        <v>744</v>
      </c>
      <c r="N706" s="7"/>
      <c r="O706" s="7"/>
    </row>
    <row r="707">
      <c r="A707" s="9" t="s">
        <v>47</v>
      </c>
      <c r="B707" s="21">
        <v>46058.0</v>
      </c>
      <c r="C707" s="9" t="s">
        <v>196</v>
      </c>
      <c r="D707" s="9" t="s">
        <v>584</v>
      </c>
      <c r="E707" s="15">
        <v>23.0</v>
      </c>
      <c r="F707" s="22"/>
      <c r="H707" s="17" t="s">
        <v>673</v>
      </c>
      <c r="N707" s="7"/>
      <c r="O707" s="7"/>
    </row>
    <row r="708">
      <c r="A708" s="9" t="s">
        <v>50</v>
      </c>
      <c r="B708" s="21">
        <v>46059.0</v>
      </c>
      <c r="C708" s="9" t="s">
        <v>706</v>
      </c>
      <c r="D708" s="9" t="s">
        <v>453</v>
      </c>
      <c r="E708" s="15">
        <v>22.95</v>
      </c>
      <c r="F708" s="22"/>
      <c r="H708" s="17" t="s">
        <v>133</v>
      </c>
      <c r="N708" s="7"/>
      <c r="O708" s="7"/>
    </row>
    <row r="709">
      <c r="A709" s="9" t="s">
        <v>50</v>
      </c>
      <c r="B709" s="21">
        <v>46059.0</v>
      </c>
      <c r="C709" s="9" t="s">
        <v>193</v>
      </c>
      <c r="D709" s="9" t="s">
        <v>453</v>
      </c>
      <c r="E709" s="15">
        <v>37.1</v>
      </c>
      <c r="F709" s="22"/>
      <c r="H709" s="17" t="s">
        <v>673</v>
      </c>
      <c r="N709" s="7"/>
      <c r="O709" s="7"/>
    </row>
    <row r="710">
      <c r="A710" s="9" t="s">
        <v>50</v>
      </c>
      <c r="B710" s="21">
        <v>46059.0</v>
      </c>
      <c r="C710" s="9" t="s">
        <v>194</v>
      </c>
      <c r="D710" s="9" t="s">
        <v>453</v>
      </c>
      <c r="E710" s="15">
        <v>25.89</v>
      </c>
      <c r="F710" s="22"/>
      <c r="H710" s="17" t="s">
        <v>673</v>
      </c>
      <c r="N710" s="7"/>
      <c r="O710" s="7"/>
    </row>
    <row r="711">
      <c r="A711" s="9" t="s">
        <v>9</v>
      </c>
      <c r="B711" s="21">
        <v>46059.0</v>
      </c>
      <c r="C711" s="9" t="s">
        <v>193</v>
      </c>
      <c r="D711" s="9" t="s">
        <v>590</v>
      </c>
      <c r="E711" s="15">
        <v>46.28</v>
      </c>
      <c r="F711" s="22"/>
      <c r="H711" s="17" t="s">
        <v>133</v>
      </c>
      <c r="N711" s="7"/>
      <c r="O711" s="7"/>
    </row>
    <row r="712">
      <c r="A712" s="9" t="s">
        <v>9</v>
      </c>
      <c r="B712" s="21">
        <v>46059.0</v>
      </c>
      <c r="C712" s="9" t="s">
        <v>197</v>
      </c>
      <c r="D712" s="9" t="s">
        <v>590</v>
      </c>
      <c r="E712" s="15">
        <v>28.25</v>
      </c>
      <c r="F712" s="22"/>
      <c r="H712" s="17" t="s">
        <v>673</v>
      </c>
      <c r="N712" s="7"/>
      <c r="O712" s="7"/>
    </row>
    <row r="713">
      <c r="A713" s="9" t="s">
        <v>9</v>
      </c>
      <c r="B713" s="21">
        <v>46059.0</v>
      </c>
      <c r="C713" s="9" t="s">
        <v>706</v>
      </c>
      <c r="D713" s="9" t="s">
        <v>590</v>
      </c>
      <c r="E713" s="15">
        <v>5.0</v>
      </c>
      <c r="F713" s="22"/>
      <c r="H713" s="17" t="s">
        <v>673</v>
      </c>
      <c r="N713" s="7"/>
      <c r="O713" s="7"/>
    </row>
    <row r="714">
      <c r="A714" s="9" t="s">
        <v>9</v>
      </c>
      <c r="B714" s="21">
        <v>46059.0</v>
      </c>
      <c r="C714" s="9" t="s">
        <v>190</v>
      </c>
      <c r="D714" s="9" t="s">
        <v>590</v>
      </c>
      <c r="E714" s="15">
        <v>21.95</v>
      </c>
      <c r="F714" s="22"/>
      <c r="H714" s="17" t="s">
        <v>673</v>
      </c>
      <c r="N714" s="7"/>
      <c r="O714" s="7"/>
    </row>
    <row r="715">
      <c r="A715" s="9" t="s">
        <v>9</v>
      </c>
      <c r="B715" s="21">
        <v>46062.0</v>
      </c>
      <c r="C715" s="9" t="s">
        <v>193</v>
      </c>
      <c r="D715" s="9" t="s">
        <v>457</v>
      </c>
      <c r="E715" s="15">
        <v>104.23</v>
      </c>
      <c r="F715" s="22"/>
      <c r="H715" s="17" t="s">
        <v>745</v>
      </c>
      <c r="N715" s="7"/>
      <c r="O715" s="7"/>
    </row>
    <row r="716">
      <c r="A716" s="9" t="s">
        <v>9</v>
      </c>
      <c r="B716" s="21">
        <v>46062.0</v>
      </c>
      <c r="C716" s="9" t="s">
        <v>196</v>
      </c>
      <c r="D716" s="9" t="s">
        <v>461</v>
      </c>
      <c r="E716" s="15">
        <v>100.0</v>
      </c>
      <c r="F716" s="22"/>
      <c r="H716" s="17" t="s">
        <v>746</v>
      </c>
      <c r="N716" s="7"/>
      <c r="O716" s="7"/>
    </row>
    <row r="717">
      <c r="A717" s="9" t="s">
        <v>9</v>
      </c>
      <c r="B717" s="21">
        <v>46062.0</v>
      </c>
      <c r="C717" s="9" t="s">
        <v>197</v>
      </c>
      <c r="D717" s="9" t="s">
        <v>480</v>
      </c>
      <c r="E717" s="15">
        <v>96.77</v>
      </c>
      <c r="F717" s="22"/>
      <c r="H717" s="17" t="s">
        <v>747</v>
      </c>
      <c r="N717" s="7"/>
      <c r="O717" s="7"/>
    </row>
    <row r="718">
      <c r="A718" s="9" t="s">
        <v>9</v>
      </c>
      <c r="B718" s="21">
        <v>46062.0</v>
      </c>
      <c r="C718" s="9" t="s">
        <v>706</v>
      </c>
      <c r="D718" s="9" t="s">
        <v>484</v>
      </c>
      <c r="E718" s="15">
        <v>104.3</v>
      </c>
      <c r="F718" s="22"/>
      <c r="H718" s="17" t="s">
        <v>436</v>
      </c>
      <c r="N718" s="7"/>
      <c r="O718" s="7"/>
    </row>
    <row r="719">
      <c r="A719" s="9" t="s">
        <v>701</v>
      </c>
      <c r="B719" s="21">
        <v>46062.0</v>
      </c>
      <c r="C719" s="9" t="s">
        <v>190</v>
      </c>
      <c r="D719" s="9" t="s">
        <v>580</v>
      </c>
      <c r="E719" s="15">
        <v>64.6</v>
      </c>
      <c r="F719" s="22"/>
      <c r="H719" s="17" t="s">
        <v>748</v>
      </c>
      <c r="N719" s="7"/>
      <c r="O719" s="7"/>
    </row>
    <row r="720">
      <c r="A720" s="9" t="s">
        <v>47</v>
      </c>
      <c r="B720" s="21">
        <v>46063.0</v>
      </c>
      <c r="C720" s="9" t="s">
        <v>193</v>
      </c>
      <c r="D720" s="9" t="s">
        <v>488</v>
      </c>
      <c r="E720" s="15">
        <v>77.8</v>
      </c>
      <c r="F720" s="22"/>
      <c r="H720" s="17" t="s">
        <v>696</v>
      </c>
      <c r="N720" s="7"/>
      <c r="O720" s="7"/>
    </row>
    <row r="721">
      <c r="A721" s="9" t="s">
        <v>47</v>
      </c>
      <c r="B721" s="21">
        <v>46063.0</v>
      </c>
      <c r="C721" s="9" t="s">
        <v>196</v>
      </c>
      <c r="D721" s="9" t="s">
        <v>488</v>
      </c>
      <c r="E721" s="15">
        <v>34.88</v>
      </c>
      <c r="F721" s="22"/>
      <c r="H721" s="17" t="s">
        <v>133</v>
      </c>
      <c r="N721" s="7"/>
      <c r="O721" s="7"/>
    </row>
    <row r="722">
      <c r="A722" s="9" t="s">
        <v>47</v>
      </c>
      <c r="B722" s="21">
        <v>46063.0</v>
      </c>
      <c r="C722" s="9" t="s">
        <v>193</v>
      </c>
      <c r="D722" s="9" t="s">
        <v>488</v>
      </c>
      <c r="E722" s="15">
        <v>8.5</v>
      </c>
      <c r="F722" s="22"/>
      <c r="H722" s="17" t="s">
        <v>673</v>
      </c>
      <c r="N722" s="7"/>
      <c r="O722" s="7"/>
    </row>
    <row r="723">
      <c r="A723" s="9" t="s">
        <v>9</v>
      </c>
      <c r="B723" s="21">
        <v>46065.0</v>
      </c>
      <c r="C723" s="9" t="s">
        <v>197</v>
      </c>
      <c r="D723" s="9" t="s">
        <v>600</v>
      </c>
      <c r="E723" s="15">
        <v>108.77</v>
      </c>
      <c r="F723" s="22"/>
      <c r="H723" s="17" t="s">
        <v>749</v>
      </c>
      <c r="N723" s="7"/>
      <c r="O723" s="7"/>
    </row>
    <row r="724">
      <c r="A724" s="9" t="s">
        <v>9</v>
      </c>
      <c r="B724" s="21">
        <v>46065.0</v>
      </c>
      <c r="C724" s="9" t="s">
        <v>196</v>
      </c>
      <c r="D724" s="9" t="s">
        <v>604</v>
      </c>
      <c r="E724" s="15">
        <v>100.02</v>
      </c>
      <c r="F724" s="22"/>
      <c r="H724" s="17" t="s">
        <v>750</v>
      </c>
      <c r="N724" s="7"/>
      <c r="O724" s="7"/>
    </row>
    <row r="725">
      <c r="A725" s="9" t="s">
        <v>9</v>
      </c>
      <c r="B725" s="21">
        <v>46065.0</v>
      </c>
      <c r="C725" s="9" t="s">
        <v>193</v>
      </c>
      <c r="D725" s="9" t="s">
        <v>682</v>
      </c>
      <c r="E725" s="15">
        <v>79.7</v>
      </c>
      <c r="F725" s="22"/>
      <c r="H725" s="17" t="s">
        <v>751</v>
      </c>
      <c r="N725" s="7"/>
      <c r="O725" s="7"/>
    </row>
    <row r="726">
      <c r="A726" s="9" t="s">
        <v>9</v>
      </c>
      <c r="B726" s="21">
        <v>46065.0</v>
      </c>
      <c r="C726" s="9" t="s">
        <v>193</v>
      </c>
      <c r="D726" s="9" t="s">
        <v>684</v>
      </c>
      <c r="E726" s="15">
        <v>70.03</v>
      </c>
      <c r="F726" s="22"/>
      <c r="H726" s="17" t="s">
        <v>751</v>
      </c>
      <c r="N726" s="7"/>
      <c r="O726" s="7"/>
    </row>
    <row r="727">
      <c r="A727" s="9" t="s">
        <v>47</v>
      </c>
      <c r="B727" s="21">
        <v>46066.0</v>
      </c>
      <c r="C727" s="9" t="s">
        <v>197</v>
      </c>
      <c r="D727" s="9" t="s">
        <v>600</v>
      </c>
      <c r="E727" s="15">
        <v>18.86</v>
      </c>
      <c r="F727" s="22"/>
      <c r="H727" s="17" t="s">
        <v>752</v>
      </c>
      <c r="N727" s="7"/>
      <c r="O727" s="7"/>
    </row>
    <row r="728">
      <c r="A728" s="9" t="s">
        <v>741</v>
      </c>
      <c r="B728" s="21">
        <v>46066.0</v>
      </c>
      <c r="C728" s="9" t="s">
        <v>193</v>
      </c>
      <c r="D728" s="9" t="s">
        <v>600</v>
      </c>
      <c r="E728" s="15">
        <v>79.06</v>
      </c>
      <c r="F728" s="22"/>
      <c r="H728" s="17" t="s">
        <v>133</v>
      </c>
      <c r="N728" s="7"/>
      <c r="O728" s="7"/>
    </row>
    <row r="729">
      <c r="A729" s="9" t="s">
        <v>741</v>
      </c>
      <c r="B729" s="21">
        <v>46066.0</v>
      </c>
      <c r="C729" s="9" t="s">
        <v>706</v>
      </c>
      <c r="D729" s="9" t="s">
        <v>457</v>
      </c>
      <c r="E729" s="15">
        <v>30.15</v>
      </c>
      <c r="F729" s="22"/>
      <c r="H729" s="17" t="s">
        <v>133</v>
      </c>
      <c r="N729" s="7"/>
      <c r="O729" s="7"/>
    </row>
    <row r="730">
      <c r="A730" s="9" t="s">
        <v>741</v>
      </c>
      <c r="B730" s="21">
        <v>46066.0</v>
      </c>
      <c r="C730" s="9" t="s">
        <v>196</v>
      </c>
      <c r="D730" s="9" t="s">
        <v>457</v>
      </c>
      <c r="E730" s="15">
        <v>46.28</v>
      </c>
      <c r="F730" s="22"/>
      <c r="H730" s="17" t="s">
        <v>133</v>
      </c>
      <c r="N730" s="7"/>
      <c r="O730" s="7"/>
    </row>
    <row r="731">
      <c r="A731" s="9" t="s">
        <v>47</v>
      </c>
      <c r="B731" s="21">
        <v>46069.0</v>
      </c>
      <c r="C731" s="9" t="s">
        <v>706</v>
      </c>
      <c r="D731" s="9" t="s">
        <v>600</v>
      </c>
      <c r="E731" s="15">
        <v>78.15</v>
      </c>
      <c r="F731" s="22"/>
      <c r="H731" s="17" t="s">
        <v>168</v>
      </c>
      <c r="N731" s="7"/>
      <c r="O731" s="7"/>
    </row>
    <row r="732">
      <c r="A732" s="9" t="s">
        <v>47</v>
      </c>
      <c r="B732" s="21">
        <v>46069.0</v>
      </c>
      <c r="C732" s="9" t="s">
        <v>193</v>
      </c>
      <c r="D732" s="9" t="s">
        <v>604</v>
      </c>
      <c r="E732" s="15">
        <v>96.3</v>
      </c>
      <c r="F732" s="22"/>
      <c r="H732" s="17" t="s">
        <v>549</v>
      </c>
      <c r="N732" s="7"/>
      <c r="O732" s="7"/>
    </row>
    <row r="733">
      <c r="A733" s="9" t="s">
        <v>47</v>
      </c>
      <c r="B733" s="21">
        <v>46069.0</v>
      </c>
      <c r="C733" s="9" t="s">
        <v>197</v>
      </c>
      <c r="D733" s="9" t="s">
        <v>682</v>
      </c>
      <c r="E733" s="15">
        <v>105.3</v>
      </c>
      <c r="F733" s="22"/>
      <c r="H733" s="17" t="s">
        <v>753</v>
      </c>
      <c r="N733" s="7"/>
      <c r="O733" s="7"/>
    </row>
    <row r="734">
      <c r="A734" s="9" t="s">
        <v>47</v>
      </c>
      <c r="B734" s="21">
        <v>46069.0</v>
      </c>
      <c r="C734" s="9" t="s">
        <v>196</v>
      </c>
      <c r="D734" s="9" t="s">
        <v>684</v>
      </c>
      <c r="E734" s="15">
        <v>101.0</v>
      </c>
      <c r="F734" s="22"/>
      <c r="H734" s="17" t="s">
        <v>754</v>
      </c>
      <c r="N734" s="7"/>
      <c r="O734" s="7"/>
    </row>
    <row r="735">
      <c r="A735" s="9" t="s">
        <v>741</v>
      </c>
      <c r="B735" s="21">
        <v>46071.0</v>
      </c>
      <c r="C735" s="9" t="s">
        <v>190</v>
      </c>
      <c r="D735" s="9" t="s">
        <v>453</v>
      </c>
      <c r="E735" s="15">
        <v>78.15</v>
      </c>
      <c r="F735" s="22"/>
      <c r="H735" s="17" t="s">
        <v>133</v>
      </c>
      <c r="N735" s="7"/>
      <c r="O735" s="7"/>
    </row>
    <row r="736">
      <c r="A736" s="9" t="s">
        <v>741</v>
      </c>
      <c r="B736" s="21">
        <v>46071.0</v>
      </c>
      <c r="C736" s="9" t="s">
        <v>193</v>
      </c>
      <c r="D736" s="9" t="s">
        <v>457</v>
      </c>
      <c r="E736" s="15">
        <v>68.45</v>
      </c>
      <c r="F736" s="22"/>
      <c r="H736" s="17" t="s">
        <v>696</v>
      </c>
      <c r="N736" s="7"/>
      <c r="O736" s="7"/>
    </row>
    <row r="737">
      <c r="A737" s="9" t="s">
        <v>741</v>
      </c>
      <c r="B737" s="21">
        <v>46071.0</v>
      </c>
      <c r="C737" s="9" t="s">
        <v>706</v>
      </c>
      <c r="D737" s="9" t="s">
        <v>453</v>
      </c>
      <c r="E737" s="15">
        <v>32.4</v>
      </c>
      <c r="F737" s="22"/>
      <c r="H737" s="17" t="s">
        <v>133</v>
      </c>
      <c r="N737" s="7"/>
      <c r="O737" s="7"/>
    </row>
    <row r="738">
      <c r="A738" s="9" t="s">
        <v>741</v>
      </c>
      <c r="B738" s="21">
        <v>46071.0</v>
      </c>
      <c r="C738" s="9" t="s">
        <v>197</v>
      </c>
      <c r="D738" s="9" t="s">
        <v>457</v>
      </c>
      <c r="E738" s="15">
        <v>30.02</v>
      </c>
      <c r="F738" s="22"/>
      <c r="H738" s="17" t="s">
        <v>133</v>
      </c>
      <c r="N738" s="7"/>
      <c r="O738" s="7"/>
    </row>
    <row r="739">
      <c r="A739" s="9" t="s">
        <v>9</v>
      </c>
      <c r="B739" s="21">
        <v>46072.0</v>
      </c>
      <c r="C739" s="9" t="s">
        <v>193</v>
      </c>
      <c r="D739" s="9" t="s">
        <v>484</v>
      </c>
      <c r="E739" s="15">
        <v>86.2</v>
      </c>
      <c r="F739" s="22"/>
      <c r="H739" s="17" t="s">
        <v>696</v>
      </c>
      <c r="N739" s="7"/>
      <c r="O739" s="7"/>
    </row>
    <row r="740">
      <c r="A740" s="9" t="s">
        <v>9</v>
      </c>
      <c r="B740" s="21">
        <v>46072.0</v>
      </c>
      <c r="C740" s="9" t="s">
        <v>706</v>
      </c>
      <c r="D740" s="9" t="s">
        <v>584</v>
      </c>
      <c r="E740" s="15">
        <v>80.01</v>
      </c>
      <c r="F740" s="22"/>
      <c r="H740" s="17" t="s">
        <v>696</v>
      </c>
      <c r="N740" s="7"/>
      <c r="O740" s="7"/>
    </row>
    <row r="741">
      <c r="A741" s="9" t="s">
        <v>9</v>
      </c>
      <c r="B741" s="21">
        <v>46072.0</v>
      </c>
      <c r="C741" s="9" t="s">
        <v>190</v>
      </c>
      <c r="D741" s="9" t="s">
        <v>584</v>
      </c>
      <c r="E741" s="15">
        <v>37.2</v>
      </c>
      <c r="F741" s="22"/>
      <c r="H741" s="17" t="s">
        <v>673</v>
      </c>
      <c r="N741" s="7"/>
      <c r="O741" s="7"/>
    </row>
    <row r="742">
      <c r="A742" s="9" t="s">
        <v>47</v>
      </c>
      <c r="B742" s="21">
        <v>46073.0</v>
      </c>
      <c r="C742" s="9" t="s">
        <v>193</v>
      </c>
      <c r="D742" s="9" t="s">
        <v>580</v>
      </c>
      <c r="E742" s="15">
        <v>102.33</v>
      </c>
      <c r="F742" s="22"/>
      <c r="H742" s="17" t="s">
        <v>755</v>
      </c>
      <c r="N742" s="7"/>
      <c r="O742" s="7"/>
    </row>
    <row r="743">
      <c r="A743" s="9" t="s">
        <v>47</v>
      </c>
      <c r="B743" s="21">
        <v>46073.0</v>
      </c>
      <c r="C743" s="9" t="s">
        <v>197</v>
      </c>
      <c r="D743" s="9" t="s">
        <v>684</v>
      </c>
      <c r="E743" s="15">
        <v>104.55</v>
      </c>
      <c r="F743" s="22"/>
      <c r="H743" s="17" t="s">
        <v>756</v>
      </c>
      <c r="N743" s="7"/>
      <c r="O743" s="7"/>
    </row>
    <row r="744">
      <c r="A744" s="9" t="s">
        <v>9</v>
      </c>
      <c r="B744" s="21">
        <v>46073.0</v>
      </c>
      <c r="C744" s="9" t="s">
        <v>193</v>
      </c>
      <c r="D744" s="9" t="s">
        <v>488</v>
      </c>
      <c r="E744" s="15">
        <v>86.89</v>
      </c>
      <c r="F744" s="22"/>
      <c r="H744" s="17" t="s">
        <v>696</v>
      </c>
      <c r="N744" s="7"/>
      <c r="O744" s="7"/>
    </row>
    <row r="745">
      <c r="A745" s="9" t="s">
        <v>9</v>
      </c>
      <c r="B745" s="21">
        <v>46073.0</v>
      </c>
      <c r="C745" s="9" t="s">
        <v>196</v>
      </c>
      <c r="D745" s="9" t="s">
        <v>457</v>
      </c>
      <c r="E745" s="15">
        <v>57.75</v>
      </c>
      <c r="F745" s="22"/>
      <c r="H745" s="17" t="s">
        <v>757</v>
      </c>
      <c r="N745" s="7"/>
      <c r="O745" s="7"/>
    </row>
    <row r="746">
      <c r="A746" s="9" t="s">
        <v>9</v>
      </c>
      <c r="B746" s="21">
        <v>46076.0</v>
      </c>
      <c r="C746" s="9" t="s">
        <v>190</v>
      </c>
      <c r="D746" s="9" t="s">
        <v>461</v>
      </c>
      <c r="E746" s="15">
        <v>108.25</v>
      </c>
      <c r="F746" s="22"/>
      <c r="H746" s="17" t="s">
        <v>758</v>
      </c>
      <c r="N746" s="7"/>
      <c r="O746" s="7"/>
    </row>
    <row r="747">
      <c r="A747" s="9" t="s">
        <v>9</v>
      </c>
      <c r="B747" s="21">
        <v>46076.0</v>
      </c>
      <c r="C747" s="9" t="s">
        <v>193</v>
      </c>
      <c r="D747" s="9" t="s">
        <v>580</v>
      </c>
      <c r="E747" s="15">
        <v>105.5</v>
      </c>
      <c r="F747" s="22"/>
      <c r="H747" s="17" t="s">
        <v>436</v>
      </c>
      <c r="N747" s="7"/>
      <c r="O747" s="7"/>
    </row>
    <row r="748">
      <c r="A748" s="9" t="s">
        <v>9</v>
      </c>
      <c r="B748" s="21">
        <v>46076.0</v>
      </c>
      <c r="C748" s="9" t="s">
        <v>196</v>
      </c>
      <c r="D748" s="9" t="s">
        <v>584</v>
      </c>
      <c r="E748" s="15">
        <v>97.82</v>
      </c>
      <c r="F748" s="22"/>
      <c r="H748" s="17" t="s">
        <v>759</v>
      </c>
      <c r="N748" s="7"/>
      <c r="O748" s="7"/>
    </row>
    <row r="749">
      <c r="A749" s="9" t="s">
        <v>9</v>
      </c>
      <c r="B749" s="21">
        <v>46076.0</v>
      </c>
      <c r="C749" s="9" t="s">
        <v>197</v>
      </c>
      <c r="D749" s="9" t="s">
        <v>590</v>
      </c>
      <c r="E749" s="15">
        <v>95.21</v>
      </c>
      <c r="F749" s="22"/>
      <c r="H749" s="17" t="s">
        <v>696</v>
      </c>
      <c r="N749" s="7"/>
      <c r="O749" s="7"/>
    </row>
    <row r="750">
      <c r="A750" s="9" t="s">
        <v>50</v>
      </c>
      <c r="B750" s="21">
        <v>46076.0</v>
      </c>
      <c r="C750" s="9" t="s">
        <v>196</v>
      </c>
      <c r="D750" s="9" t="s">
        <v>453</v>
      </c>
      <c r="E750" s="15">
        <v>51.42</v>
      </c>
      <c r="F750" s="22"/>
      <c r="H750" s="17" t="s">
        <v>760</v>
      </c>
      <c r="N750" s="7"/>
      <c r="O750" s="7"/>
    </row>
    <row r="751">
      <c r="A751" s="9" t="s">
        <v>50</v>
      </c>
      <c r="B751" s="21">
        <v>46077.0</v>
      </c>
      <c r="C751" s="9" t="s">
        <v>196</v>
      </c>
      <c r="D751" s="9" t="s">
        <v>593</v>
      </c>
      <c r="E751" s="15">
        <v>84.5</v>
      </c>
      <c r="F751" s="22"/>
      <c r="H751" s="17" t="s">
        <v>696</v>
      </c>
      <c r="N751" s="7"/>
      <c r="O751" s="7"/>
    </row>
    <row r="752">
      <c r="A752" s="9" t="s">
        <v>9</v>
      </c>
      <c r="B752" s="21">
        <v>46077.0</v>
      </c>
      <c r="C752" s="9" t="s">
        <v>193</v>
      </c>
      <c r="D752" s="9" t="s">
        <v>488</v>
      </c>
      <c r="E752" s="15">
        <v>48.98</v>
      </c>
      <c r="F752" s="22"/>
      <c r="H752" s="17" t="s">
        <v>133</v>
      </c>
      <c r="N752" s="7"/>
      <c r="O752" s="7"/>
    </row>
    <row r="753">
      <c r="A753" s="9" t="s">
        <v>9</v>
      </c>
      <c r="B753" s="21">
        <v>46078.0</v>
      </c>
      <c r="C753" s="9" t="s">
        <v>193</v>
      </c>
      <c r="D753" s="9" t="s">
        <v>597</v>
      </c>
      <c r="E753" s="15">
        <v>119.95</v>
      </c>
      <c r="F753" s="22"/>
      <c r="H753" s="17" t="s">
        <v>761</v>
      </c>
      <c r="N753" s="7"/>
      <c r="O753" s="7"/>
    </row>
    <row r="754">
      <c r="A754" s="9" t="s">
        <v>47</v>
      </c>
      <c r="B754" s="21">
        <v>46079.0</v>
      </c>
      <c r="C754" s="9" t="s">
        <v>706</v>
      </c>
      <c r="D754" s="9" t="s">
        <v>580</v>
      </c>
      <c r="E754" s="15">
        <v>108.3</v>
      </c>
      <c r="F754" s="22"/>
      <c r="H754" s="17" t="s">
        <v>762</v>
      </c>
      <c r="N754" s="7"/>
      <c r="O754" s="7"/>
    </row>
    <row r="755">
      <c r="A755" s="9" t="s">
        <v>50</v>
      </c>
      <c r="B755" s="21">
        <v>46079.0</v>
      </c>
      <c r="C755" s="9" t="s">
        <v>193</v>
      </c>
      <c r="D755" s="9" t="s">
        <v>584</v>
      </c>
      <c r="E755" s="15">
        <v>30.42</v>
      </c>
      <c r="F755" s="22"/>
      <c r="H755" s="17" t="s">
        <v>133</v>
      </c>
      <c r="N755" s="7"/>
      <c r="O755" s="7"/>
    </row>
    <row r="756">
      <c r="A756" s="9" t="s">
        <v>50</v>
      </c>
      <c r="B756" s="21">
        <v>46079.0</v>
      </c>
      <c r="C756" s="9" t="s">
        <v>196</v>
      </c>
      <c r="D756" s="9" t="s">
        <v>584</v>
      </c>
      <c r="E756" s="15">
        <v>20.23</v>
      </c>
      <c r="F756" s="22"/>
      <c r="H756" s="17" t="s">
        <v>673</v>
      </c>
      <c r="N756" s="7"/>
      <c r="O756" s="7"/>
    </row>
    <row r="757">
      <c r="A757" s="9" t="s">
        <v>47</v>
      </c>
      <c r="B757" s="21">
        <v>46080.0</v>
      </c>
      <c r="C757" s="9" t="s">
        <v>196</v>
      </c>
      <c r="D757" s="9" t="s">
        <v>488</v>
      </c>
      <c r="E757" s="15">
        <v>43.4</v>
      </c>
      <c r="F757" s="22"/>
      <c r="H757" s="17" t="s">
        <v>133</v>
      </c>
      <c r="N757" s="7"/>
      <c r="O757" s="7"/>
    </row>
    <row r="758">
      <c r="A758" s="9" t="s">
        <v>701</v>
      </c>
      <c r="B758" s="21">
        <v>46080.0</v>
      </c>
      <c r="C758" s="9" t="s">
        <v>193</v>
      </c>
      <c r="D758" s="9" t="s">
        <v>682</v>
      </c>
      <c r="E758" s="15">
        <v>100.0</v>
      </c>
      <c r="F758" s="22"/>
      <c r="H758" s="17" t="s">
        <v>763</v>
      </c>
      <c r="N758" s="7"/>
      <c r="O758" s="7"/>
    </row>
    <row r="759">
      <c r="A759" s="9" t="s">
        <v>47</v>
      </c>
      <c r="B759" s="21">
        <v>46083.0</v>
      </c>
      <c r="C759" s="9" t="s">
        <v>706</v>
      </c>
      <c r="D759" s="9" t="s">
        <v>604</v>
      </c>
      <c r="E759" s="15">
        <v>102.17</v>
      </c>
      <c r="F759" s="22"/>
      <c r="H759" s="17" t="s">
        <v>764</v>
      </c>
      <c r="N759" s="7"/>
      <c r="O759" s="7"/>
    </row>
    <row r="760">
      <c r="A760" s="9" t="s">
        <v>47</v>
      </c>
      <c r="B760" s="21">
        <v>46083.0</v>
      </c>
      <c r="C760" s="9" t="s">
        <v>196</v>
      </c>
      <c r="D760" s="9" t="s">
        <v>580</v>
      </c>
      <c r="E760" s="15">
        <v>108.9</v>
      </c>
      <c r="F760" s="22"/>
      <c r="H760" s="17" t="s">
        <v>765</v>
      </c>
      <c r="N760" s="7"/>
      <c r="O760" s="7"/>
    </row>
    <row r="761">
      <c r="A761" s="9" t="s">
        <v>47</v>
      </c>
      <c r="B761" s="21">
        <v>46083.0</v>
      </c>
      <c r="C761" s="9" t="s">
        <v>194</v>
      </c>
      <c r="D761" s="9" t="s">
        <v>449</v>
      </c>
      <c r="E761" s="15">
        <v>97.95</v>
      </c>
      <c r="F761" s="22"/>
      <c r="H761" s="17" t="s">
        <v>766</v>
      </c>
      <c r="N761" s="7"/>
      <c r="O761" s="7"/>
    </row>
    <row r="762">
      <c r="A762" s="9" t="s">
        <v>47</v>
      </c>
      <c r="B762" s="21">
        <v>46083.0</v>
      </c>
      <c r="C762" s="9" t="s">
        <v>193</v>
      </c>
      <c r="D762" s="9" t="s">
        <v>597</v>
      </c>
      <c r="E762" s="15">
        <v>106.3</v>
      </c>
      <c r="F762" s="22"/>
      <c r="H762" s="17" t="s">
        <v>767</v>
      </c>
      <c r="N762" s="7"/>
      <c r="O762" s="7"/>
    </row>
    <row r="763">
      <c r="A763" s="9" t="s">
        <v>47</v>
      </c>
      <c r="B763" s="21">
        <v>46083.0</v>
      </c>
      <c r="C763" s="9" t="s">
        <v>197</v>
      </c>
      <c r="D763" s="9" t="s">
        <v>590</v>
      </c>
      <c r="E763" s="15">
        <v>68.17</v>
      </c>
      <c r="F763" s="22"/>
      <c r="H763" s="17" t="s">
        <v>768</v>
      </c>
      <c r="N763" s="7"/>
      <c r="O763" s="7"/>
    </row>
    <row r="764">
      <c r="A764" s="9" t="s">
        <v>47</v>
      </c>
      <c r="B764" s="21">
        <v>46084.0</v>
      </c>
      <c r="C764" s="9" t="s">
        <v>196</v>
      </c>
      <c r="D764" s="9" t="s">
        <v>469</v>
      </c>
      <c r="E764" s="15">
        <v>58.95</v>
      </c>
      <c r="F764" s="22"/>
      <c r="H764" s="17" t="s">
        <v>769</v>
      </c>
      <c r="N764" s="7"/>
      <c r="O764" s="7"/>
    </row>
    <row r="765">
      <c r="A765" s="9" t="s">
        <v>9</v>
      </c>
      <c r="B765" s="21">
        <v>46084.0</v>
      </c>
      <c r="C765" s="9" t="s">
        <v>193</v>
      </c>
      <c r="D765" s="9" t="s">
        <v>447</v>
      </c>
      <c r="E765" s="15">
        <v>57.95</v>
      </c>
      <c r="F765" s="22"/>
      <c r="H765" s="17" t="s">
        <v>770</v>
      </c>
      <c r="N765" s="7"/>
      <c r="O765" s="7"/>
    </row>
    <row r="766">
      <c r="A766" s="9" t="s">
        <v>9</v>
      </c>
      <c r="B766" s="21">
        <v>46085.0</v>
      </c>
      <c r="C766" s="9" t="s">
        <v>196</v>
      </c>
      <c r="D766" s="9" t="s">
        <v>590</v>
      </c>
      <c r="E766" s="15">
        <v>53.46</v>
      </c>
      <c r="F766" s="22"/>
      <c r="H766" s="17" t="s">
        <v>771</v>
      </c>
      <c r="N766" s="7"/>
      <c r="O766" s="7"/>
    </row>
    <row r="767">
      <c r="A767" s="9" t="s">
        <v>50</v>
      </c>
      <c r="B767" s="21">
        <v>46085.0</v>
      </c>
      <c r="C767" s="9" t="s">
        <v>197</v>
      </c>
      <c r="D767" s="9" t="s">
        <v>447</v>
      </c>
      <c r="E767" s="15">
        <v>63.9</v>
      </c>
      <c r="F767" s="22"/>
      <c r="H767" s="17" t="s">
        <v>772</v>
      </c>
      <c r="N767" s="7"/>
      <c r="O767" s="7"/>
    </row>
    <row r="768">
      <c r="A768" s="9" t="s">
        <v>47</v>
      </c>
      <c r="B768" s="21">
        <v>46086.0</v>
      </c>
      <c r="C768" s="9" t="s">
        <v>196</v>
      </c>
      <c r="D768" s="9" t="s">
        <v>449</v>
      </c>
      <c r="E768" s="15">
        <v>81.9</v>
      </c>
      <c r="F768" s="22"/>
      <c r="H768" s="17" t="s">
        <v>773</v>
      </c>
      <c r="N768" s="7"/>
      <c r="O768" s="7"/>
    </row>
    <row r="769">
      <c r="A769" s="9" t="s">
        <v>50</v>
      </c>
      <c r="B769" s="21">
        <v>46086.0</v>
      </c>
      <c r="C769" s="9" t="s">
        <v>193</v>
      </c>
      <c r="D769" s="9" t="s">
        <v>469</v>
      </c>
      <c r="E769" s="15">
        <v>43.0</v>
      </c>
      <c r="F769" s="22"/>
      <c r="H769" s="17" t="s">
        <v>774</v>
      </c>
      <c r="N769" s="7"/>
      <c r="O769" s="7"/>
    </row>
    <row r="770">
      <c r="A770" s="9" t="s">
        <v>47</v>
      </c>
      <c r="B770" s="21">
        <v>46090.0</v>
      </c>
      <c r="C770" s="9" t="s">
        <v>196</v>
      </c>
      <c r="D770" s="9" t="s">
        <v>447</v>
      </c>
      <c r="E770" s="15">
        <v>103.3</v>
      </c>
      <c r="F770" s="22"/>
      <c r="H770" s="17" t="s">
        <v>775</v>
      </c>
      <c r="N770" s="7"/>
      <c r="O770" s="7"/>
    </row>
    <row r="771">
      <c r="A771" s="9" t="s">
        <v>47</v>
      </c>
      <c r="B771" s="21">
        <v>46090.0</v>
      </c>
      <c r="C771" s="9" t="s">
        <v>706</v>
      </c>
      <c r="D771" s="9" t="s">
        <v>449</v>
      </c>
      <c r="E771" s="15">
        <v>102.8</v>
      </c>
      <c r="F771" s="22"/>
      <c r="H771" s="17" t="s">
        <v>776</v>
      </c>
      <c r="N771" s="7"/>
      <c r="O771" s="7"/>
    </row>
    <row r="772">
      <c r="A772" s="9" t="s">
        <v>50</v>
      </c>
      <c r="B772" s="21">
        <v>46090.0</v>
      </c>
      <c r="C772" s="9" t="s">
        <v>197</v>
      </c>
      <c r="D772" s="9" t="s">
        <v>584</v>
      </c>
      <c r="E772" s="15">
        <v>86.3</v>
      </c>
      <c r="F772" s="22"/>
      <c r="H772" s="17" t="s">
        <v>664</v>
      </c>
      <c r="N772" s="7"/>
      <c r="O772" s="7"/>
    </row>
    <row r="773">
      <c r="A773" s="9" t="s">
        <v>50</v>
      </c>
      <c r="B773" s="21">
        <v>46090.0</v>
      </c>
      <c r="C773" s="9" t="s">
        <v>193</v>
      </c>
      <c r="D773" s="9" t="s">
        <v>590</v>
      </c>
      <c r="E773" s="15">
        <v>108.36</v>
      </c>
      <c r="F773" s="22"/>
      <c r="H773" s="17" t="s">
        <v>549</v>
      </c>
      <c r="N773" s="7"/>
      <c r="O773" s="7"/>
    </row>
    <row r="774">
      <c r="A774" s="9" t="s">
        <v>50</v>
      </c>
      <c r="B774" s="21">
        <v>46090.0</v>
      </c>
      <c r="C774" s="9" t="s">
        <v>706</v>
      </c>
      <c r="D774" s="9" t="s">
        <v>593</v>
      </c>
      <c r="E774" s="15">
        <v>102.28</v>
      </c>
      <c r="F774" s="22"/>
      <c r="H774" s="17" t="s">
        <v>777</v>
      </c>
      <c r="N774" s="7"/>
      <c r="O774" s="7"/>
    </row>
    <row r="775">
      <c r="A775" s="9" t="s">
        <v>50</v>
      </c>
      <c r="B775" s="21">
        <v>46090.0</v>
      </c>
      <c r="C775" s="9" t="s">
        <v>190</v>
      </c>
      <c r="D775" s="9" t="s">
        <v>597</v>
      </c>
      <c r="E775" s="15">
        <v>100.0</v>
      </c>
      <c r="F775" s="22"/>
      <c r="H775" s="17" t="s">
        <v>696</v>
      </c>
      <c r="N775" s="7"/>
      <c r="O775" s="7"/>
    </row>
    <row r="776">
      <c r="A776" s="9" t="s">
        <v>9</v>
      </c>
      <c r="B776" s="21">
        <v>46091.0</v>
      </c>
      <c r="C776" s="9" t="s">
        <v>196</v>
      </c>
      <c r="D776" s="9" t="s">
        <v>597</v>
      </c>
      <c r="E776" s="15">
        <v>73.4</v>
      </c>
      <c r="F776" s="22"/>
      <c r="H776" s="17" t="s">
        <v>778</v>
      </c>
      <c r="N776" s="7"/>
      <c r="O776" s="7"/>
    </row>
    <row r="777">
      <c r="A777" s="9" t="s">
        <v>715</v>
      </c>
      <c r="B777" s="21">
        <v>46091.0</v>
      </c>
      <c r="C777" s="9" t="s">
        <v>706</v>
      </c>
      <c r="D777" s="9" t="s">
        <v>469</v>
      </c>
      <c r="E777" s="15">
        <v>70.02</v>
      </c>
      <c r="F777" s="22"/>
      <c r="H777" s="17" t="s">
        <v>778</v>
      </c>
      <c r="N777" s="7"/>
      <c r="O777" s="7"/>
    </row>
    <row r="778">
      <c r="A778" s="9" t="s">
        <v>9</v>
      </c>
      <c r="B778" s="21">
        <v>46092.0</v>
      </c>
      <c r="C778" s="9" t="s">
        <v>193</v>
      </c>
      <c r="D778" s="9" t="s">
        <v>488</v>
      </c>
      <c r="E778" s="15">
        <v>57.15</v>
      </c>
      <c r="F778" s="22"/>
      <c r="H778" s="17" t="s">
        <v>779</v>
      </c>
      <c r="N778" s="7"/>
      <c r="O778" s="7"/>
    </row>
    <row r="779">
      <c r="A779" s="9" t="s">
        <v>9</v>
      </c>
      <c r="B779" s="21">
        <v>46092.0</v>
      </c>
      <c r="C779" s="9" t="s">
        <v>190</v>
      </c>
      <c r="D779" s="9" t="s">
        <v>447</v>
      </c>
      <c r="E779" s="15">
        <v>76.6</v>
      </c>
      <c r="F779" s="22"/>
      <c r="H779" s="17" t="s">
        <v>780</v>
      </c>
      <c r="N779" s="7"/>
      <c r="O779" s="7"/>
    </row>
    <row r="780">
      <c r="A780" s="9" t="s">
        <v>9</v>
      </c>
      <c r="B780" s="21">
        <v>46093.0</v>
      </c>
      <c r="C780" s="9" t="s">
        <v>196</v>
      </c>
      <c r="D780" s="9" t="s">
        <v>469</v>
      </c>
      <c r="E780" s="15">
        <v>63.45</v>
      </c>
      <c r="F780" s="22"/>
      <c r="H780" s="17" t="s">
        <v>781</v>
      </c>
      <c r="N780" s="7"/>
      <c r="O780" s="7"/>
    </row>
    <row r="781">
      <c r="A781" s="9" t="s">
        <v>9</v>
      </c>
      <c r="B781" s="21">
        <v>46093.0</v>
      </c>
      <c r="C781" s="9" t="s">
        <v>193</v>
      </c>
      <c r="D781" s="9" t="s">
        <v>684</v>
      </c>
      <c r="E781" s="15">
        <v>104.6</v>
      </c>
      <c r="F781" s="22"/>
      <c r="H781" s="17" t="s">
        <v>664</v>
      </c>
      <c r="N781" s="7"/>
      <c r="O781" s="7"/>
    </row>
    <row r="782">
      <c r="A782" s="9" t="s">
        <v>47</v>
      </c>
      <c r="B782" s="21">
        <v>46094.0</v>
      </c>
      <c r="C782" s="9" t="s">
        <v>197</v>
      </c>
      <c r="D782" s="9" t="s">
        <v>604</v>
      </c>
      <c r="E782" s="15">
        <v>98.9</v>
      </c>
      <c r="F782" s="22"/>
      <c r="H782" s="17" t="s">
        <v>696</v>
      </c>
      <c r="N782" s="7"/>
      <c r="O782" s="7"/>
    </row>
    <row r="783">
      <c r="A783" s="9" t="s">
        <v>9</v>
      </c>
      <c r="B783" s="21">
        <v>46097.0</v>
      </c>
      <c r="C783" s="9" t="s">
        <v>706</v>
      </c>
      <c r="D783" s="9" t="s">
        <v>597</v>
      </c>
      <c r="E783" s="15">
        <v>108.7</v>
      </c>
      <c r="F783" s="22"/>
      <c r="H783" s="17" t="s">
        <v>782</v>
      </c>
      <c r="N783" s="7"/>
      <c r="O783" s="7"/>
    </row>
    <row r="784">
      <c r="A784" s="9" t="s">
        <v>9</v>
      </c>
      <c r="B784" s="21">
        <v>46097.0</v>
      </c>
      <c r="C784" s="9" t="s">
        <v>193</v>
      </c>
      <c r="D784" s="9" t="s">
        <v>447</v>
      </c>
      <c r="E784" s="15">
        <v>100.08</v>
      </c>
      <c r="F784" s="22"/>
      <c r="H784" s="17" t="s">
        <v>783</v>
      </c>
      <c r="N784" s="7"/>
      <c r="O784" s="7"/>
    </row>
    <row r="785">
      <c r="A785" s="9" t="s">
        <v>9</v>
      </c>
      <c r="B785" s="21">
        <v>46097.0</v>
      </c>
      <c r="C785" s="9" t="s">
        <v>197</v>
      </c>
      <c r="D785" s="9" t="s">
        <v>449</v>
      </c>
      <c r="E785" s="15">
        <v>100.0</v>
      </c>
      <c r="F785" s="22"/>
      <c r="H785" s="17" t="s">
        <v>784</v>
      </c>
      <c r="N785" s="7"/>
      <c r="O785" s="7"/>
    </row>
    <row r="786">
      <c r="A786" s="9" t="s">
        <v>47</v>
      </c>
      <c r="B786" s="21">
        <v>46098.0</v>
      </c>
      <c r="C786" s="9" t="s">
        <v>706</v>
      </c>
      <c r="D786" s="9" t="s">
        <v>453</v>
      </c>
      <c r="E786" s="15">
        <v>69.95</v>
      </c>
      <c r="F786" s="22"/>
      <c r="H786" s="17" t="s">
        <v>785</v>
      </c>
      <c r="N786" s="7"/>
      <c r="O786" s="7"/>
    </row>
    <row r="787">
      <c r="A787" s="9" t="s">
        <v>50</v>
      </c>
      <c r="B787" s="21">
        <v>46098.0</v>
      </c>
      <c r="C787" s="9" t="s">
        <v>193</v>
      </c>
      <c r="D787" s="9" t="s">
        <v>469</v>
      </c>
      <c r="E787" s="15">
        <v>81.85</v>
      </c>
      <c r="F787" s="22"/>
      <c r="H787" s="17" t="s">
        <v>786</v>
      </c>
      <c r="N787" s="7"/>
      <c r="O787" s="7"/>
    </row>
    <row r="788">
      <c r="A788" s="9" t="s">
        <v>688</v>
      </c>
      <c r="B788" s="21">
        <v>46099.0</v>
      </c>
      <c r="C788" s="9" t="s">
        <v>196</v>
      </c>
      <c r="D788" s="9" t="s">
        <v>590</v>
      </c>
      <c r="E788" s="15">
        <v>88.15</v>
      </c>
      <c r="F788" s="22"/>
      <c r="H788" s="17" t="s">
        <v>787</v>
      </c>
      <c r="N788" s="7"/>
      <c r="O788" s="7"/>
    </row>
    <row r="789">
      <c r="A789" s="9" t="s">
        <v>47</v>
      </c>
      <c r="B789" s="21">
        <v>46099.0</v>
      </c>
      <c r="C789" s="9" t="s">
        <v>197</v>
      </c>
      <c r="D789" s="9" t="s">
        <v>584</v>
      </c>
      <c r="E789" s="15">
        <v>83.01</v>
      </c>
      <c r="F789" s="22"/>
      <c r="H789" s="17" t="s">
        <v>788</v>
      </c>
      <c r="N789" s="7"/>
      <c r="O789" s="7"/>
    </row>
    <row r="790">
      <c r="A790" s="9" t="s">
        <v>50</v>
      </c>
      <c r="B790" s="21">
        <v>46100.0</v>
      </c>
      <c r="C790" s="9" t="s">
        <v>706</v>
      </c>
      <c r="D790" s="9" t="s">
        <v>597</v>
      </c>
      <c r="E790" s="15">
        <v>81.35</v>
      </c>
      <c r="F790" s="22"/>
      <c r="H790" s="17" t="s">
        <v>789</v>
      </c>
      <c r="N790" s="7"/>
      <c r="O790" s="7"/>
    </row>
    <row r="791">
      <c r="A791" s="9" t="s">
        <v>50</v>
      </c>
      <c r="B791" s="21">
        <v>46100.0</v>
      </c>
      <c r="C791" s="9" t="s">
        <v>193</v>
      </c>
      <c r="D791" s="9" t="s">
        <v>447</v>
      </c>
      <c r="E791" s="15">
        <v>26.85</v>
      </c>
      <c r="F791" s="22"/>
      <c r="H791" s="17" t="s">
        <v>790</v>
      </c>
      <c r="N791" s="7"/>
      <c r="O791" s="7"/>
    </row>
    <row r="792">
      <c r="A792" s="9" t="s">
        <v>9</v>
      </c>
      <c r="B792" s="21">
        <v>46101.0</v>
      </c>
      <c r="C792" s="9" t="s">
        <v>196</v>
      </c>
      <c r="D792" s="9" t="s">
        <v>447</v>
      </c>
      <c r="E792" s="15">
        <v>36.25</v>
      </c>
      <c r="F792" s="22"/>
      <c r="H792" s="17" t="s">
        <v>791</v>
      </c>
      <c r="N792" s="7"/>
      <c r="O792" s="7"/>
    </row>
    <row r="793">
      <c r="A793" s="9" t="s">
        <v>9</v>
      </c>
      <c r="B793" s="21">
        <v>46104.0</v>
      </c>
      <c r="C793" s="9" t="s">
        <v>197</v>
      </c>
      <c r="D793" s="9" t="s">
        <v>453</v>
      </c>
      <c r="E793" s="15">
        <v>107.89</v>
      </c>
      <c r="F793" s="22"/>
      <c r="H793" s="17" t="s">
        <v>792</v>
      </c>
      <c r="N793" s="7"/>
      <c r="O793" s="7"/>
    </row>
    <row r="794">
      <c r="A794" s="9" t="s">
        <v>9</v>
      </c>
      <c r="B794" s="21">
        <v>46104.0</v>
      </c>
      <c r="C794" s="9" t="s">
        <v>196</v>
      </c>
      <c r="D794" s="9" t="s">
        <v>584</v>
      </c>
      <c r="E794" s="15">
        <v>56.02</v>
      </c>
      <c r="F794" s="22"/>
      <c r="H794" s="17" t="s">
        <v>793</v>
      </c>
      <c r="N794" s="7"/>
      <c r="O794" s="7"/>
    </row>
    <row r="795">
      <c r="A795" s="9" t="s">
        <v>9</v>
      </c>
      <c r="B795" s="21">
        <v>46104.0</v>
      </c>
      <c r="C795" s="9" t="s">
        <v>194</v>
      </c>
      <c r="D795" s="9" t="s">
        <v>590</v>
      </c>
      <c r="E795" s="15">
        <v>66.68</v>
      </c>
      <c r="F795" s="22"/>
      <c r="H795" s="17" t="s">
        <v>794</v>
      </c>
      <c r="N795" s="7"/>
      <c r="O795" s="7"/>
    </row>
    <row r="796">
      <c r="A796" s="9" t="s">
        <v>9</v>
      </c>
      <c r="B796" s="21">
        <v>46104.0</v>
      </c>
      <c r="C796" s="9" t="s">
        <v>196</v>
      </c>
      <c r="D796" s="9" t="s">
        <v>600</v>
      </c>
      <c r="E796" s="15">
        <v>103.01</v>
      </c>
      <c r="F796" s="22"/>
      <c r="H796" s="17" t="s">
        <v>795</v>
      </c>
      <c r="N796" s="7"/>
      <c r="O796" s="7"/>
    </row>
    <row r="797">
      <c r="A797" s="9" t="s">
        <v>9</v>
      </c>
      <c r="B797" s="21">
        <v>46104.0</v>
      </c>
      <c r="C797" s="9" t="s">
        <v>706</v>
      </c>
      <c r="D797" s="9" t="s">
        <v>604</v>
      </c>
      <c r="E797" s="15">
        <v>103.98</v>
      </c>
      <c r="F797" s="22"/>
      <c r="H797" s="17" t="s">
        <v>796</v>
      </c>
      <c r="N797" s="7"/>
      <c r="O797" s="7"/>
    </row>
    <row r="798">
      <c r="A798" s="9" t="s">
        <v>47</v>
      </c>
      <c r="B798" s="21">
        <v>46105.0</v>
      </c>
      <c r="C798" s="9" t="s">
        <v>196</v>
      </c>
      <c r="D798" s="9" t="s">
        <v>453</v>
      </c>
      <c r="E798" s="15">
        <v>72.97</v>
      </c>
      <c r="F798" s="22"/>
      <c r="H798" s="17" t="s">
        <v>797</v>
      </c>
      <c r="N798" s="7"/>
      <c r="O798" s="7"/>
    </row>
    <row r="799">
      <c r="A799" s="9" t="s">
        <v>50</v>
      </c>
      <c r="B799" s="21">
        <v>46105.0</v>
      </c>
      <c r="C799" s="9" t="s">
        <v>197</v>
      </c>
      <c r="D799" s="9" t="s">
        <v>584</v>
      </c>
      <c r="E799" s="15">
        <v>67.48</v>
      </c>
      <c r="F799" s="22"/>
      <c r="H799" s="17" t="s">
        <v>798</v>
      </c>
      <c r="N799" s="7"/>
      <c r="O799" s="7"/>
    </row>
    <row r="800">
      <c r="A800" s="9" t="s">
        <v>9</v>
      </c>
      <c r="B800" s="21">
        <v>46106.0</v>
      </c>
      <c r="C800" s="9" t="s">
        <v>190</v>
      </c>
      <c r="D800" s="9" t="s">
        <v>484</v>
      </c>
      <c r="E800" s="15">
        <v>103.2</v>
      </c>
      <c r="F800" s="22"/>
      <c r="H800" s="17" t="s">
        <v>696</v>
      </c>
      <c r="N800" s="7"/>
      <c r="O800" s="7"/>
    </row>
    <row r="801">
      <c r="A801" s="9" t="s">
        <v>9</v>
      </c>
      <c r="B801" s="21">
        <v>46106.0</v>
      </c>
      <c r="C801" s="9" t="s">
        <v>197</v>
      </c>
      <c r="D801" s="9" t="s">
        <v>447</v>
      </c>
      <c r="E801" s="15">
        <v>102.33</v>
      </c>
      <c r="F801" s="22"/>
      <c r="H801" s="17" t="s">
        <v>696</v>
      </c>
      <c r="N801" s="7"/>
      <c r="O801" s="7"/>
    </row>
    <row r="802">
      <c r="A802" s="9" t="s">
        <v>9</v>
      </c>
      <c r="B802" s="21">
        <v>46106.0</v>
      </c>
      <c r="C802" s="9" t="s">
        <v>193</v>
      </c>
      <c r="D802" s="9" t="s">
        <v>449</v>
      </c>
      <c r="E802" s="15">
        <v>101.0</v>
      </c>
      <c r="F802" s="22"/>
      <c r="H802" s="17" t="s">
        <v>664</v>
      </c>
      <c r="N802" s="7"/>
      <c r="O802" s="7"/>
    </row>
    <row r="803">
      <c r="A803" s="9" t="s">
        <v>701</v>
      </c>
      <c r="B803" s="21">
        <v>46107.0</v>
      </c>
      <c r="C803" s="9" t="s">
        <v>193</v>
      </c>
      <c r="D803" s="9" t="s">
        <v>590</v>
      </c>
      <c r="E803" s="15">
        <v>105.3</v>
      </c>
      <c r="F803" s="22"/>
      <c r="H803" s="17" t="s">
        <v>168</v>
      </c>
      <c r="N803" s="7"/>
      <c r="O803" s="7"/>
    </row>
    <row r="804">
      <c r="A804" s="9" t="s">
        <v>9</v>
      </c>
      <c r="B804" s="21">
        <v>46107.0</v>
      </c>
      <c r="C804" s="9" t="s">
        <v>706</v>
      </c>
      <c r="D804" s="9" t="s">
        <v>593</v>
      </c>
      <c r="E804" s="15">
        <v>104.33</v>
      </c>
      <c r="F804" s="22"/>
      <c r="H804" s="17" t="s">
        <v>664</v>
      </c>
      <c r="N804" s="7"/>
      <c r="O804" s="7"/>
    </row>
    <row r="805">
      <c r="A805" s="9" t="s">
        <v>9</v>
      </c>
      <c r="B805" s="21">
        <v>46108.0</v>
      </c>
      <c r="C805" s="9" t="s">
        <v>196</v>
      </c>
      <c r="D805" s="9" t="s">
        <v>604</v>
      </c>
      <c r="E805" s="15">
        <v>54.6</v>
      </c>
      <c r="F805" s="22"/>
      <c r="H805" s="17" t="s">
        <v>133</v>
      </c>
      <c r="N805" s="7"/>
      <c r="O805" s="7"/>
    </row>
    <row r="806">
      <c r="A806" s="9" t="s">
        <v>9</v>
      </c>
      <c r="B806" s="21">
        <v>46108.0</v>
      </c>
      <c r="C806" s="9" t="s">
        <v>193</v>
      </c>
      <c r="D806" s="9" t="s">
        <v>684</v>
      </c>
      <c r="E806" s="15">
        <v>55.07</v>
      </c>
      <c r="F806" s="22"/>
      <c r="H806" s="17" t="s">
        <v>799</v>
      </c>
      <c r="N806" s="7"/>
      <c r="O806" s="7"/>
    </row>
    <row r="807">
      <c r="A807" s="9" t="s">
        <v>9</v>
      </c>
      <c r="B807" s="21">
        <v>46108.0</v>
      </c>
      <c r="C807" s="9" t="s">
        <v>197</v>
      </c>
      <c r="D807" s="9" t="s">
        <v>447</v>
      </c>
      <c r="E807" s="15">
        <v>55.65</v>
      </c>
      <c r="F807" s="22"/>
      <c r="H807" s="17" t="s">
        <v>673</v>
      </c>
      <c r="N807" s="7"/>
      <c r="O807" s="7"/>
    </row>
    <row r="808">
      <c r="A808" s="9" t="s">
        <v>47</v>
      </c>
      <c r="B808" s="21">
        <v>46111.0</v>
      </c>
      <c r="C808" s="9" t="s">
        <v>197</v>
      </c>
      <c r="D808" s="9" t="s">
        <v>600</v>
      </c>
      <c r="E808" s="15">
        <v>102.7</v>
      </c>
      <c r="F808" s="22"/>
      <c r="H808" s="17" t="s">
        <v>800</v>
      </c>
      <c r="N808" s="7"/>
      <c r="O808" s="7"/>
    </row>
    <row r="809">
      <c r="A809" s="9" t="s">
        <v>47</v>
      </c>
      <c r="B809" s="21">
        <v>46111.0</v>
      </c>
      <c r="C809" s="9" t="s">
        <v>193</v>
      </c>
      <c r="D809" s="9" t="s">
        <v>604</v>
      </c>
      <c r="E809" s="15">
        <v>103.02</v>
      </c>
      <c r="F809" s="22"/>
      <c r="H809" s="17" t="s">
        <v>801</v>
      </c>
      <c r="N809" s="7"/>
      <c r="O809" s="7"/>
    </row>
    <row r="810">
      <c r="A810" s="9" t="s">
        <v>47</v>
      </c>
      <c r="B810" s="21">
        <v>46111.0</v>
      </c>
      <c r="C810" s="9" t="s">
        <v>196</v>
      </c>
      <c r="D810" s="9" t="s">
        <v>682</v>
      </c>
      <c r="E810" s="15">
        <v>109.8</v>
      </c>
      <c r="F810" s="22"/>
      <c r="H810" s="17" t="s">
        <v>802</v>
      </c>
      <c r="N810" s="7"/>
      <c r="O810" s="7"/>
    </row>
    <row r="811">
      <c r="A811" s="9" t="s">
        <v>9</v>
      </c>
      <c r="B811" s="21">
        <v>46111.0</v>
      </c>
      <c r="C811" s="9" t="s">
        <v>196</v>
      </c>
      <c r="D811" s="9" t="s">
        <v>484</v>
      </c>
      <c r="E811" s="15">
        <v>44.95</v>
      </c>
      <c r="F811" s="22"/>
      <c r="H811" s="17" t="s">
        <v>133</v>
      </c>
      <c r="N811" s="7"/>
      <c r="O811" s="7"/>
    </row>
    <row r="812">
      <c r="A812" s="9" t="s">
        <v>9</v>
      </c>
      <c r="B812" s="21">
        <v>46112.0</v>
      </c>
      <c r="C812" s="9" t="s">
        <v>193</v>
      </c>
      <c r="D812" s="9" t="s">
        <v>457</v>
      </c>
      <c r="E812" s="15">
        <v>54.91</v>
      </c>
      <c r="F812" s="22"/>
      <c r="H812" s="17" t="s">
        <v>803</v>
      </c>
      <c r="N812" s="7"/>
      <c r="O812" s="7"/>
    </row>
    <row r="813">
      <c r="A813" s="9" t="s">
        <v>50</v>
      </c>
      <c r="B813" s="21">
        <v>46113.0</v>
      </c>
      <c r="C813" s="9" t="s">
        <v>197</v>
      </c>
      <c r="D813" s="9" t="s">
        <v>488</v>
      </c>
      <c r="E813" s="15">
        <v>108.4</v>
      </c>
      <c r="F813" s="22"/>
      <c r="H813" s="17" t="s">
        <v>804</v>
      </c>
      <c r="N813" s="7"/>
      <c r="O813" s="7"/>
    </row>
    <row r="814">
      <c r="A814" s="9" t="s">
        <v>50</v>
      </c>
      <c r="B814" s="21">
        <v>46113.0</v>
      </c>
      <c r="C814" s="9" t="s">
        <v>196</v>
      </c>
      <c r="D814" s="9" t="s">
        <v>580</v>
      </c>
      <c r="E814" s="15">
        <v>57.05</v>
      </c>
      <c r="F814" s="22"/>
      <c r="H814" s="17" t="s">
        <v>805</v>
      </c>
      <c r="N814" s="7"/>
      <c r="O814" s="7"/>
    </row>
    <row r="815">
      <c r="A815" s="9" t="s">
        <v>9</v>
      </c>
      <c r="B815" s="21">
        <v>46114.0</v>
      </c>
      <c r="C815" s="9" t="s">
        <v>193</v>
      </c>
      <c r="D815" s="9" t="s">
        <v>484</v>
      </c>
      <c r="E815" s="15">
        <v>101.05</v>
      </c>
      <c r="F815" s="22"/>
      <c r="H815" s="17" t="s">
        <v>806</v>
      </c>
      <c r="N815" s="7"/>
      <c r="O815" s="7"/>
    </row>
    <row r="816">
      <c r="A816" s="9" t="s">
        <v>47</v>
      </c>
      <c r="B816" s="21">
        <v>46118.0</v>
      </c>
      <c r="C816" s="9" t="s">
        <v>196</v>
      </c>
      <c r="D816" s="9" t="s">
        <v>457</v>
      </c>
      <c r="E816" s="15">
        <v>126.8</v>
      </c>
      <c r="F816" s="22"/>
      <c r="H816" s="17" t="s">
        <v>807</v>
      </c>
      <c r="N816" s="7"/>
      <c r="O816" s="7"/>
    </row>
    <row r="817">
      <c r="A817" s="9" t="s">
        <v>47</v>
      </c>
      <c r="B817" s="21">
        <v>46118.0</v>
      </c>
      <c r="C817" s="9" t="s">
        <v>706</v>
      </c>
      <c r="D817" s="9" t="s">
        <v>600</v>
      </c>
      <c r="E817" s="15">
        <v>98.85</v>
      </c>
      <c r="F817" s="22"/>
      <c r="H817" s="17" t="s">
        <v>808</v>
      </c>
      <c r="N817" s="7"/>
      <c r="O817" s="7"/>
    </row>
    <row r="818">
      <c r="A818" s="9" t="s">
        <v>47</v>
      </c>
      <c r="B818" s="21">
        <v>46118.0</v>
      </c>
      <c r="C818" s="9" t="s">
        <v>193</v>
      </c>
      <c r="D818" s="9" t="s">
        <v>604</v>
      </c>
      <c r="E818" s="15">
        <v>80.35</v>
      </c>
      <c r="F818" s="22"/>
      <c r="H818" s="17" t="s">
        <v>809</v>
      </c>
      <c r="N818" s="7"/>
      <c r="O818" s="7"/>
    </row>
    <row r="819">
      <c r="A819" s="9" t="s">
        <v>47</v>
      </c>
      <c r="B819" s="21">
        <v>46118.0</v>
      </c>
      <c r="C819" s="9" t="s">
        <v>193</v>
      </c>
      <c r="D819" s="9" t="s">
        <v>682</v>
      </c>
      <c r="E819" s="15">
        <v>58.3</v>
      </c>
      <c r="F819" s="22"/>
      <c r="H819" s="17" t="s">
        <v>810</v>
      </c>
      <c r="N819" s="7"/>
      <c r="O819" s="7"/>
    </row>
    <row r="820">
      <c r="A820" s="9" t="s">
        <v>9</v>
      </c>
      <c r="B820" s="21">
        <v>46118.0</v>
      </c>
      <c r="C820" s="9" t="s">
        <v>196</v>
      </c>
      <c r="D820" s="9" t="s">
        <v>484</v>
      </c>
      <c r="E820" s="15">
        <v>86.67</v>
      </c>
      <c r="F820" s="22"/>
      <c r="H820" s="17" t="s">
        <v>811</v>
      </c>
      <c r="N820" s="7"/>
      <c r="O820" s="7"/>
    </row>
    <row r="821">
      <c r="A821" s="9" t="s">
        <v>47</v>
      </c>
      <c r="B821" s="21">
        <v>46120.0</v>
      </c>
      <c r="C821" s="9" t="s">
        <v>193</v>
      </c>
      <c r="D821" s="9" t="s">
        <v>684</v>
      </c>
      <c r="E821" s="15">
        <v>103.0</v>
      </c>
      <c r="F821" s="22"/>
      <c r="H821" s="17" t="s">
        <v>812</v>
      </c>
      <c r="N821" s="7"/>
      <c r="O821" s="7"/>
    </row>
    <row r="822">
      <c r="A822" s="9" t="s">
        <v>9</v>
      </c>
      <c r="B822" s="21">
        <v>46121.0</v>
      </c>
      <c r="C822" s="9" t="s">
        <v>706</v>
      </c>
      <c r="D822" s="9" t="s">
        <v>600</v>
      </c>
      <c r="E822" s="15">
        <v>100.34</v>
      </c>
      <c r="F822" s="22"/>
      <c r="H822" s="17" t="s">
        <v>813</v>
      </c>
      <c r="N822" s="7"/>
      <c r="O822" s="7"/>
    </row>
    <row r="823">
      <c r="A823" s="9" t="s">
        <v>9</v>
      </c>
      <c r="B823" s="21">
        <v>46121.0</v>
      </c>
      <c r="C823" s="9" t="s">
        <v>196</v>
      </c>
      <c r="D823" s="9" t="s">
        <v>600</v>
      </c>
      <c r="E823" s="15">
        <v>101.21</v>
      </c>
      <c r="F823" s="22"/>
      <c r="H823" s="17" t="s">
        <v>814</v>
      </c>
      <c r="N823" s="7"/>
      <c r="O823" s="7"/>
    </row>
    <row r="824">
      <c r="A824" s="9" t="s">
        <v>9</v>
      </c>
      <c r="B824" s="21">
        <v>46122.0</v>
      </c>
      <c r="C824" s="9" t="s">
        <v>194</v>
      </c>
      <c r="D824" s="9" t="s">
        <v>484</v>
      </c>
      <c r="E824" s="15">
        <v>98.3</v>
      </c>
      <c r="F824" s="22"/>
      <c r="H824" s="17" t="s">
        <v>815</v>
      </c>
      <c r="N824" s="7"/>
      <c r="O824" s="7"/>
    </row>
    <row r="825">
      <c r="A825" s="9" t="s">
        <v>47</v>
      </c>
      <c r="B825" s="21">
        <v>46125.0</v>
      </c>
      <c r="C825" s="9" t="s">
        <v>197</v>
      </c>
      <c r="D825" s="9" t="s">
        <v>604</v>
      </c>
      <c r="E825" s="15">
        <v>100.99</v>
      </c>
      <c r="F825" s="22"/>
      <c r="H825" s="17" t="s">
        <v>816</v>
      </c>
      <c r="N825" s="7"/>
      <c r="O825" s="7"/>
    </row>
    <row r="826">
      <c r="A826" s="9" t="s">
        <v>47</v>
      </c>
      <c r="B826" s="21">
        <v>46125.0</v>
      </c>
      <c r="C826" s="9" t="s">
        <v>193</v>
      </c>
      <c r="D826" s="9" t="s">
        <v>682</v>
      </c>
      <c r="E826" s="15">
        <v>88.55</v>
      </c>
      <c r="F826" s="22"/>
      <c r="H826" s="17" t="s">
        <v>817</v>
      </c>
      <c r="N826" s="7"/>
      <c r="O826" s="7"/>
    </row>
    <row r="827">
      <c r="A827" s="9" t="s">
        <v>47</v>
      </c>
      <c r="B827" s="21">
        <v>46125.0</v>
      </c>
      <c r="C827" s="9" t="s">
        <v>706</v>
      </c>
      <c r="D827" s="9" t="s">
        <v>684</v>
      </c>
      <c r="E827" s="15">
        <v>100.0</v>
      </c>
      <c r="F827" s="22"/>
      <c r="H827" s="17" t="s">
        <v>818</v>
      </c>
      <c r="N827" s="7"/>
      <c r="O827" s="7"/>
    </row>
    <row r="828">
      <c r="A828" s="9" t="s">
        <v>9</v>
      </c>
      <c r="B828" s="21">
        <v>46125.0</v>
      </c>
      <c r="C828" s="9" t="s">
        <v>196</v>
      </c>
      <c r="D828" s="9" t="s">
        <v>684</v>
      </c>
      <c r="E828" s="15">
        <v>99.44</v>
      </c>
      <c r="F828" s="22"/>
      <c r="H828" s="17" t="s">
        <v>819</v>
      </c>
      <c r="N828" s="7"/>
      <c r="O828" s="7"/>
    </row>
    <row r="829">
      <c r="A829" s="9" t="s">
        <v>9</v>
      </c>
      <c r="B829" s="21">
        <v>46126.0</v>
      </c>
      <c r="C829" s="9" t="s">
        <v>706</v>
      </c>
      <c r="D829" s="9" t="s">
        <v>457</v>
      </c>
      <c r="E829" s="15">
        <v>101.77</v>
      </c>
      <c r="F829" s="22"/>
      <c r="H829" s="17" t="s">
        <v>820</v>
      </c>
      <c r="N829" s="7"/>
      <c r="O829" s="7"/>
    </row>
    <row r="830">
      <c r="A830" s="9" t="s">
        <v>47</v>
      </c>
      <c r="B830" s="21">
        <v>46126.0</v>
      </c>
      <c r="C830" s="9" t="s">
        <v>194</v>
      </c>
      <c r="D830" s="9" t="s">
        <v>484</v>
      </c>
      <c r="E830" s="15">
        <v>59.3</v>
      </c>
      <c r="F830" s="22"/>
      <c r="H830" s="17" t="s">
        <v>821</v>
      </c>
      <c r="N830" s="7"/>
      <c r="O830" s="7"/>
    </row>
    <row r="831">
      <c r="A831" s="9" t="s">
        <v>47</v>
      </c>
      <c r="B831" s="21">
        <v>46126.0</v>
      </c>
      <c r="C831" s="9" t="s">
        <v>193</v>
      </c>
      <c r="D831" s="9" t="s">
        <v>682</v>
      </c>
      <c r="E831" s="15">
        <v>92.45</v>
      </c>
      <c r="F831" s="22"/>
      <c r="H831" s="17" t="s">
        <v>822</v>
      </c>
      <c r="N831" s="7"/>
      <c r="O831" s="7"/>
    </row>
    <row r="832">
      <c r="A832" s="9" t="s">
        <v>50</v>
      </c>
      <c r="B832" s="21">
        <v>46127.0</v>
      </c>
      <c r="C832" s="9" t="s">
        <v>196</v>
      </c>
      <c r="D832" s="9" t="s">
        <v>484</v>
      </c>
      <c r="E832" s="15">
        <v>101.1</v>
      </c>
      <c r="F832" s="22"/>
      <c r="H832" s="17" t="s">
        <v>436</v>
      </c>
      <c r="N832" s="7"/>
      <c r="O832" s="7"/>
    </row>
    <row r="833">
      <c r="A833" s="9" t="s">
        <v>9</v>
      </c>
      <c r="B833" s="21">
        <v>46128.0</v>
      </c>
      <c r="C833" s="9" t="s">
        <v>197</v>
      </c>
      <c r="D833" s="9" t="s">
        <v>447</v>
      </c>
      <c r="E833" s="15">
        <v>58.78</v>
      </c>
      <c r="F833" s="22"/>
      <c r="H833" s="17" t="s">
        <v>823</v>
      </c>
      <c r="N833" s="7"/>
      <c r="O833" s="7"/>
    </row>
    <row r="834">
      <c r="A834" s="9" t="s">
        <v>9</v>
      </c>
      <c r="B834" s="21">
        <v>46128.0</v>
      </c>
      <c r="C834" s="9" t="s">
        <v>196</v>
      </c>
      <c r="D834" s="9" t="s">
        <v>449</v>
      </c>
      <c r="E834" s="15">
        <v>65.98</v>
      </c>
      <c r="F834" s="22"/>
      <c r="H834" s="17" t="s">
        <v>824</v>
      </c>
      <c r="N834" s="7"/>
      <c r="O834" s="7"/>
    </row>
    <row r="835">
      <c r="A835" s="9" t="s">
        <v>50</v>
      </c>
      <c r="B835" s="21">
        <v>46129.0</v>
      </c>
      <c r="C835" s="9" t="s">
        <v>193</v>
      </c>
      <c r="D835" s="9" t="s">
        <v>604</v>
      </c>
      <c r="E835" s="15">
        <v>100.02</v>
      </c>
      <c r="F835" s="22"/>
      <c r="H835" s="17" t="s">
        <v>436</v>
      </c>
      <c r="N835" s="7"/>
      <c r="O835" s="7"/>
    </row>
    <row r="836">
      <c r="A836" s="9" t="s">
        <v>9</v>
      </c>
      <c r="B836" s="21">
        <v>46129.0</v>
      </c>
      <c r="C836" s="9" t="s">
        <v>193</v>
      </c>
      <c r="D836" s="9" t="s">
        <v>469</v>
      </c>
      <c r="E836" s="15">
        <v>67.89</v>
      </c>
      <c r="F836" s="22"/>
      <c r="H836" s="17" t="s">
        <v>825</v>
      </c>
      <c r="N836" s="7"/>
      <c r="O836" s="7"/>
    </row>
    <row r="837">
      <c r="A837" s="9" t="s">
        <v>9</v>
      </c>
      <c r="B837" s="21">
        <v>46132.0</v>
      </c>
      <c r="C837" s="9" t="s">
        <v>190</v>
      </c>
      <c r="D837" s="9" t="s">
        <v>457</v>
      </c>
      <c r="E837" s="15">
        <v>101.2</v>
      </c>
      <c r="F837" s="22"/>
      <c r="H837" s="17" t="s">
        <v>826</v>
      </c>
      <c r="N837" s="7"/>
      <c r="O837" s="7"/>
    </row>
    <row r="838">
      <c r="A838" s="9" t="s">
        <v>9</v>
      </c>
      <c r="B838" s="21">
        <v>46132.0</v>
      </c>
      <c r="C838" s="9" t="s">
        <v>193</v>
      </c>
      <c r="D838" s="9" t="s">
        <v>484</v>
      </c>
      <c r="E838" s="15">
        <v>100.03</v>
      </c>
      <c r="F838" s="22"/>
      <c r="H838" s="17" t="s">
        <v>827</v>
      </c>
      <c r="N838" s="7"/>
      <c r="O838" s="7"/>
    </row>
    <row r="839">
      <c r="A839" s="9" t="s">
        <v>9</v>
      </c>
      <c r="B839" s="21">
        <v>46132.0</v>
      </c>
      <c r="C839" s="9" t="s">
        <v>706</v>
      </c>
      <c r="D839" s="9" t="s">
        <v>469</v>
      </c>
      <c r="E839" s="15">
        <v>100.97</v>
      </c>
      <c r="F839" s="22"/>
      <c r="H839" s="17" t="s">
        <v>828</v>
      </c>
      <c r="N839" s="7"/>
      <c r="O839" s="7"/>
    </row>
    <row r="840">
      <c r="A840" s="9" t="s">
        <v>9</v>
      </c>
      <c r="B840" s="21">
        <v>46132.0</v>
      </c>
      <c r="C840" s="9" t="s">
        <v>197</v>
      </c>
      <c r="D840" s="9" t="s">
        <v>449</v>
      </c>
      <c r="E840" s="15">
        <v>104.33</v>
      </c>
      <c r="F840" s="22"/>
      <c r="H840" s="17" t="s">
        <v>829</v>
      </c>
      <c r="N840" s="7"/>
      <c r="O840" s="7"/>
    </row>
    <row r="841">
      <c r="A841" s="9" t="s">
        <v>50</v>
      </c>
      <c r="B841" s="21">
        <v>46134.0</v>
      </c>
      <c r="C841" s="9" t="s">
        <v>193</v>
      </c>
      <c r="D841" s="9" t="s">
        <v>600</v>
      </c>
      <c r="E841" s="15">
        <v>99.71</v>
      </c>
      <c r="F841" s="22"/>
      <c r="H841" s="17" t="s">
        <v>830</v>
      </c>
      <c r="N841" s="7"/>
      <c r="O841" s="7"/>
    </row>
    <row r="842">
      <c r="A842" s="9" t="s">
        <v>50</v>
      </c>
      <c r="B842" s="21">
        <v>46134.0</v>
      </c>
      <c r="C842" s="9" t="s">
        <v>196</v>
      </c>
      <c r="D842" s="9" t="s">
        <v>604</v>
      </c>
      <c r="E842" s="15">
        <v>104.96</v>
      </c>
      <c r="F842" s="22"/>
      <c r="H842" s="17" t="s">
        <v>831</v>
      </c>
      <c r="N842" s="7"/>
      <c r="O842" s="7"/>
    </row>
    <row r="843">
      <c r="A843" s="9" t="s">
        <v>50</v>
      </c>
      <c r="B843" s="21">
        <v>46134.0</v>
      </c>
      <c r="C843" s="9" t="s">
        <v>194</v>
      </c>
      <c r="D843" s="9" t="s">
        <v>682</v>
      </c>
      <c r="E843" s="15">
        <v>104.34</v>
      </c>
      <c r="F843" s="22"/>
      <c r="H843" s="17" t="s">
        <v>832</v>
      </c>
      <c r="N843" s="7"/>
      <c r="O843" s="7"/>
    </row>
    <row r="844">
      <c r="A844" s="9" t="s">
        <v>9</v>
      </c>
      <c r="B844" s="21">
        <v>46134.0</v>
      </c>
      <c r="C844" s="9" t="s">
        <v>706</v>
      </c>
      <c r="D844" s="9" t="s">
        <v>488</v>
      </c>
      <c r="E844" s="15">
        <v>101.56</v>
      </c>
      <c r="F844" s="22"/>
      <c r="H844" s="17" t="s">
        <v>833</v>
      </c>
      <c r="N844" s="7"/>
      <c r="O844" s="7"/>
    </row>
    <row r="845">
      <c r="A845" s="9" t="s">
        <v>47</v>
      </c>
      <c r="B845" s="21">
        <v>46135.0</v>
      </c>
      <c r="C845" s="9" t="s">
        <v>193</v>
      </c>
      <c r="D845" s="9" t="s">
        <v>453</v>
      </c>
      <c r="E845" s="15">
        <v>88.7</v>
      </c>
      <c r="F845" s="22"/>
      <c r="H845" s="17" t="s">
        <v>834</v>
      </c>
      <c r="N845" s="7"/>
      <c r="O845" s="7"/>
    </row>
    <row r="846">
      <c r="A846" s="9" t="s">
        <v>47</v>
      </c>
      <c r="B846" s="21">
        <v>46135.0</v>
      </c>
      <c r="C846" s="9" t="s">
        <v>706</v>
      </c>
      <c r="D846" s="9" t="s">
        <v>461</v>
      </c>
      <c r="E846" s="15">
        <v>100.2</v>
      </c>
      <c r="F846" s="22"/>
      <c r="H846" s="17" t="s">
        <v>835</v>
      </c>
      <c r="N846" s="7"/>
      <c r="O846" s="7"/>
    </row>
    <row r="847">
      <c r="A847" s="9" t="s">
        <v>9</v>
      </c>
      <c r="B847" s="21">
        <v>46136.0</v>
      </c>
      <c r="C847" s="9" t="s">
        <v>197</v>
      </c>
      <c r="D847" s="9" t="s">
        <v>457</v>
      </c>
      <c r="E847" s="15">
        <v>100.0</v>
      </c>
      <c r="F847" s="22"/>
      <c r="H847" s="17" t="s">
        <v>836</v>
      </c>
      <c r="N847" s="7"/>
      <c r="O847" s="7"/>
    </row>
    <row r="848">
      <c r="A848" s="9" t="s">
        <v>9</v>
      </c>
      <c r="B848" s="21">
        <v>46136.0</v>
      </c>
      <c r="C848" s="9" t="s">
        <v>196</v>
      </c>
      <c r="D848" s="9" t="s">
        <v>461</v>
      </c>
      <c r="E848" s="15">
        <v>105.79</v>
      </c>
      <c r="F848" s="22"/>
      <c r="H848" s="17" t="s">
        <v>837</v>
      </c>
      <c r="N848" s="7"/>
      <c r="O848" s="7"/>
    </row>
    <row r="849">
      <c r="A849" s="9" t="s">
        <v>47</v>
      </c>
      <c r="B849" s="21">
        <v>46139.0</v>
      </c>
      <c r="C849" s="9" t="s">
        <v>193</v>
      </c>
      <c r="D849" s="9" t="s">
        <v>480</v>
      </c>
      <c r="E849" s="15">
        <v>80.89</v>
      </c>
      <c r="F849" s="22"/>
      <c r="H849" s="17" t="s">
        <v>838</v>
      </c>
      <c r="N849" s="7"/>
      <c r="O849" s="7"/>
    </row>
    <row r="850">
      <c r="A850" s="9" t="s">
        <v>47</v>
      </c>
      <c r="B850" s="21">
        <v>46139.0</v>
      </c>
      <c r="C850" s="9" t="s">
        <v>706</v>
      </c>
      <c r="D850" s="9" t="s">
        <v>593</v>
      </c>
      <c r="E850" s="15">
        <v>108.18</v>
      </c>
      <c r="F850" s="22"/>
      <c r="H850" s="17" t="s">
        <v>839</v>
      </c>
      <c r="N850" s="7"/>
      <c r="O850" s="7"/>
    </row>
    <row r="851">
      <c r="A851" s="9" t="s">
        <v>47</v>
      </c>
      <c r="B851" s="21">
        <v>46139.0</v>
      </c>
      <c r="C851" s="9" t="s">
        <v>197</v>
      </c>
      <c r="D851" s="9" t="s">
        <v>600</v>
      </c>
      <c r="E851" s="15">
        <v>98.33</v>
      </c>
      <c r="F851" s="22"/>
      <c r="H851" s="17" t="s">
        <v>840</v>
      </c>
      <c r="N851" s="7"/>
      <c r="O851" s="7"/>
    </row>
    <row r="852">
      <c r="A852" s="9" t="s">
        <v>47</v>
      </c>
      <c r="B852" s="21">
        <v>46139.0</v>
      </c>
      <c r="C852" s="9" t="s">
        <v>706</v>
      </c>
      <c r="D852" s="9" t="s">
        <v>461</v>
      </c>
      <c r="E852" s="15">
        <v>94.45</v>
      </c>
      <c r="F852" s="22"/>
      <c r="H852" s="17" t="s">
        <v>841</v>
      </c>
      <c r="N852" s="7"/>
      <c r="O852" s="7"/>
    </row>
    <row r="853">
      <c r="A853" s="9" t="s">
        <v>47</v>
      </c>
      <c r="B853" s="21">
        <v>46139.0</v>
      </c>
      <c r="C853" s="9" t="s">
        <v>194</v>
      </c>
      <c r="D853" s="9" t="s">
        <v>484</v>
      </c>
      <c r="E853" s="15">
        <v>89.79</v>
      </c>
      <c r="F853" s="22"/>
      <c r="H853" s="17" t="s">
        <v>842</v>
      </c>
      <c r="N853" s="7"/>
      <c r="O853" s="7"/>
    </row>
    <row r="854">
      <c r="A854" s="9" t="s">
        <v>47</v>
      </c>
      <c r="B854" s="21">
        <v>46140.0</v>
      </c>
      <c r="C854" s="9" t="s">
        <v>706</v>
      </c>
      <c r="D854" s="9" t="s">
        <v>590</v>
      </c>
      <c r="E854" s="15">
        <v>46.37</v>
      </c>
      <c r="F854" s="22"/>
      <c r="H854" s="17" t="s">
        <v>843</v>
      </c>
      <c r="N854" s="7"/>
      <c r="O854" s="7"/>
    </row>
    <row r="855">
      <c r="A855" s="9" t="s">
        <v>47</v>
      </c>
      <c r="B855" s="21">
        <v>46140.0</v>
      </c>
      <c r="C855" s="9" t="s">
        <v>196</v>
      </c>
      <c r="D855" s="9" t="s">
        <v>600</v>
      </c>
      <c r="E855" s="15">
        <v>67.08</v>
      </c>
      <c r="F855" s="22"/>
      <c r="H855" s="17" t="s">
        <v>844</v>
      </c>
      <c r="N855" s="7"/>
      <c r="O855" s="7"/>
    </row>
    <row r="856">
      <c r="A856" s="9" t="s">
        <v>688</v>
      </c>
      <c r="B856" s="21">
        <v>46140.0</v>
      </c>
      <c r="C856" s="9" t="s">
        <v>194</v>
      </c>
      <c r="D856" s="9" t="s">
        <v>604</v>
      </c>
      <c r="E856" s="15">
        <v>71.23</v>
      </c>
      <c r="F856" s="22"/>
      <c r="H856" s="17" t="s">
        <v>845</v>
      </c>
      <c r="N856" s="7"/>
      <c r="O856" s="7"/>
    </row>
    <row r="857">
      <c r="A857" s="9" t="s">
        <v>47</v>
      </c>
      <c r="B857" s="21">
        <v>46141.0</v>
      </c>
      <c r="C857" s="9" t="s">
        <v>193</v>
      </c>
      <c r="D857" s="9" t="s">
        <v>580</v>
      </c>
      <c r="E857" s="15">
        <v>82.85</v>
      </c>
      <c r="F857" s="22"/>
      <c r="H857" s="17" t="s">
        <v>846</v>
      </c>
      <c r="N857" s="7"/>
      <c r="O857" s="7"/>
    </row>
    <row r="858">
      <c r="A858" s="9" t="s">
        <v>688</v>
      </c>
      <c r="B858" s="21">
        <v>46141.0</v>
      </c>
      <c r="C858" s="9" t="s">
        <v>197</v>
      </c>
      <c r="D858" s="9" t="s">
        <v>590</v>
      </c>
      <c r="E858" s="15">
        <v>61.85</v>
      </c>
      <c r="F858" s="22"/>
      <c r="H858" s="17" t="s">
        <v>847</v>
      </c>
      <c r="N858" s="7"/>
      <c r="O858" s="7"/>
    </row>
    <row r="859">
      <c r="A859" s="9" t="s">
        <v>701</v>
      </c>
      <c r="B859" s="21">
        <v>46142.0</v>
      </c>
      <c r="C859" s="9" t="s">
        <v>196</v>
      </c>
      <c r="D859" s="9" t="s">
        <v>461</v>
      </c>
      <c r="E859" s="15">
        <v>74.55</v>
      </c>
      <c r="F859" s="22"/>
      <c r="H859" s="17" t="s">
        <v>848</v>
      </c>
      <c r="N859" s="7"/>
      <c r="O859" s="7"/>
    </row>
    <row r="860">
      <c r="A860" s="9" t="s">
        <v>9</v>
      </c>
      <c r="B860" s="21">
        <v>46142.0</v>
      </c>
      <c r="C860" s="9" t="s">
        <v>193</v>
      </c>
      <c r="D860" s="9" t="s">
        <v>453</v>
      </c>
      <c r="E860" s="15">
        <v>105.3</v>
      </c>
      <c r="F860" s="22"/>
      <c r="H860" s="17" t="s">
        <v>436</v>
      </c>
      <c r="N860" s="7"/>
      <c r="O860" s="7"/>
    </row>
    <row r="861">
      <c r="A861" s="9" t="s">
        <v>9</v>
      </c>
      <c r="B861" s="21">
        <v>46142.0</v>
      </c>
      <c r="C861" s="9" t="s">
        <v>706</v>
      </c>
      <c r="D861" s="9" t="s">
        <v>684</v>
      </c>
      <c r="E861" s="15">
        <v>101.03</v>
      </c>
      <c r="F861" s="22"/>
      <c r="H861" s="17" t="s">
        <v>436</v>
      </c>
      <c r="N861" s="7"/>
      <c r="O861" s="7"/>
    </row>
    <row r="862">
      <c r="A862" s="9" t="s">
        <v>9</v>
      </c>
      <c r="B862" s="21">
        <v>46147.0</v>
      </c>
      <c r="C862" s="9" t="s">
        <v>706</v>
      </c>
      <c r="D862" s="9" t="s">
        <v>580</v>
      </c>
      <c r="E862" s="15">
        <v>14.0</v>
      </c>
      <c r="F862" s="22"/>
      <c r="H862" s="17" t="s">
        <v>849</v>
      </c>
      <c r="N862" s="7"/>
      <c r="O862" s="7"/>
    </row>
    <row r="863">
      <c r="A863" s="9" t="s">
        <v>9</v>
      </c>
      <c r="B863" s="21">
        <v>46147.0</v>
      </c>
      <c r="C863" s="9" t="s">
        <v>196</v>
      </c>
      <c r="D863" s="9" t="s">
        <v>488</v>
      </c>
      <c r="E863" s="15">
        <v>124.5</v>
      </c>
      <c r="F863" s="22"/>
      <c r="H863" s="17" t="s">
        <v>850</v>
      </c>
      <c r="N863" s="7"/>
      <c r="O863" s="7"/>
    </row>
    <row r="864">
      <c r="A864" s="9" t="s">
        <v>9</v>
      </c>
      <c r="B864" s="21">
        <v>46147.0</v>
      </c>
      <c r="C864" s="9" t="s">
        <v>197</v>
      </c>
      <c r="D864" s="9" t="s">
        <v>580</v>
      </c>
      <c r="E864" s="15">
        <v>85.56</v>
      </c>
      <c r="F864" s="22"/>
      <c r="H864" s="17" t="s">
        <v>851</v>
      </c>
      <c r="N864" s="7"/>
      <c r="O864" s="7"/>
    </row>
    <row r="865">
      <c r="A865" s="9" t="s">
        <v>50</v>
      </c>
      <c r="B865" s="21">
        <v>46147.0</v>
      </c>
      <c r="C865" s="9" t="s">
        <v>193</v>
      </c>
      <c r="D865" s="9" t="s">
        <v>461</v>
      </c>
      <c r="E865" s="15">
        <v>104.6</v>
      </c>
      <c r="F865" s="22"/>
      <c r="H865" s="17" t="s">
        <v>696</v>
      </c>
      <c r="N865" s="7"/>
      <c r="O865" s="7"/>
    </row>
    <row r="866">
      <c r="A866" s="9" t="s">
        <v>50</v>
      </c>
      <c r="B866" s="21">
        <v>46147.0</v>
      </c>
      <c r="C866" s="9" t="s">
        <v>197</v>
      </c>
      <c r="D866" s="9" t="s">
        <v>590</v>
      </c>
      <c r="E866" s="15">
        <v>102.65</v>
      </c>
      <c r="F866" s="22"/>
      <c r="H866" s="17" t="s">
        <v>696</v>
      </c>
      <c r="N866" s="7"/>
      <c r="O866" s="7"/>
    </row>
    <row r="867">
      <c r="A867" s="9" t="s">
        <v>50</v>
      </c>
      <c r="B867" s="21">
        <v>46147.0</v>
      </c>
      <c r="C867" s="9" t="s">
        <v>196</v>
      </c>
      <c r="D867" s="9" t="s">
        <v>593</v>
      </c>
      <c r="E867" s="15">
        <v>148.2</v>
      </c>
      <c r="F867" s="22"/>
      <c r="H867" s="17" t="s">
        <v>436</v>
      </c>
      <c r="N867" s="7"/>
      <c r="O867" s="7"/>
    </row>
    <row r="868">
      <c r="A868" s="9" t="s">
        <v>9</v>
      </c>
      <c r="B868" s="21">
        <v>46149.0</v>
      </c>
      <c r="C868" s="9" t="s">
        <v>706</v>
      </c>
      <c r="D868" s="9" t="s">
        <v>461</v>
      </c>
      <c r="E868" s="15">
        <v>36.1</v>
      </c>
      <c r="F868" s="22"/>
      <c r="H868" s="17" t="s">
        <v>673</v>
      </c>
      <c r="N868" s="7"/>
      <c r="O868" s="7"/>
    </row>
    <row r="869">
      <c r="A869" s="9" t="s">
        <v>9</v>
      </c>
      <c r="B869" s="21">
        <v>46149.0</v>
      </c>
      <c r="C869" s="9" t="s">
        <v>193</v>
      </c>
      <c r="D869" s="9" t="s">
        <v>480</v>
      </c>
      <c r="E869" s="15">
        <v>58.72</v>
      </c>
      <c r="F869" s="22"/>
      <c r="H869" s="17" t="s">
        <v>696</v>
      </c>
      <c r="N869" s="7"/>
      <c r="O869" s="7"/>
    </row>
    <row r="870">
      <c r="A870" s="9" t="s">
        <v>9</v>
      </c>
      <c r="B870" s="21">
        <v>46149.0</v>
      </c>
      <c r="C870" s="9" t="s">
        <v>197</v>
      </c>
      <c r="D870" s="9" t="s">
        <v>461</v>
      </c>
      <c r="E870" s="15">
        <v>91.03</v>
      </c>
      <c r="F870" s="22"/>
      <c r="H870" s="17" t="s">
        <v>696</v>
      </c>
      <c r="N870" s="7"/>
      <c r="O870" s="7"/>
    </row>
    <row r="871">
      <c r="A871" s="9" t="s">
        <v>9</v>
      </c>
      <c r="B871" s="21">
        <v>46149.0</v>
      </c>
      <c r="C871" s="9" t="s">
        <v>196</v>
      </c>
      <c r="D871" s="9" t="s">
        <v>480</v>
      </c>
      <c r="E871" s="15">
        <v>44.2</v>
      </c>
      <c r="F871" s="22"/>
      <c r="H871" s="17" t="s">
        <v>696</v>
      </c>
      <c r="N871" s="7"/>
      <c r="O871" s="7"/>
    </row>
    <row r="872">
      <c r="A872" s="9" t="s">
        <v>9</v>
      </c>
      <c r="B872" s="21">
        <v>46150.0</v>
      </c>
      <c r="C872" s="9" t="s">
        <v>193</v>
      </c>
      <c r="D872" s="9" t="s">
        <v>600</v>
      </c>
      <c r="E872" s="15">
        <v>39.02</v>
      </c>
      <c r="F872" s="22"/>
      <c r="H872" s="17" t="s">
        <v>696</v>
      </c>
      <c r="N872" s="7"/>
      <c r="O872" s="7"/>
    </row>
    <row r="873">
      <c r="A873" s="9" t="s">
        <v>9</v>
      </c>
      <c r="B873" s="21">
        <v>46150.0</v>
      </c>
      <c r="C873" s="9" t="s">
        <v>706</v>
      </c>
      <c r="D873" s="9" t="s">
        <v>597</v>
      </c>
      <c r="E873" s="15">
        <v>20.0</v>
      </c>
      <c r="F873" s="22"/>
      <c r="H873" s="17" t="s">
        <v>673</v>
      </c>
      <c r="N873" s="7"/>
      <c r="O873" s="7"/>
    </row>
    <row r="874">
      <c r="A874" s="9" t="s">
        <v>9</v>
      </c>
      <c r="B874" s="21">
        <v>46150.0</v>
      </c>
      <c r="C874" s="9" t="s">
        <v>196</v>
      </c>
      <c r="D874" s="9" t="s">
        <v>597</v>
      </c>
      <c r="E874" s="15">
        <v>49.2</v>
      </c>
      <c r="F874" s="22"/>
      <c r="H874" s="17" t="s">
        <v>133</v>
      </c>
      <c r="N874" s="7"/>
      <c r="O874" s="7"/>
    </row>
    <row r="875">
      <c r="A875" s="9" t="s">
        <v>9</v>
      </c>
      <c r="B875" s="21">
        <v>46150.0</v>
      </c>
      <c r="C875" s="9" t="s">
        <v>197</v>
      </c>
      <c r="D875" s="9" t="s">
        <v>600</v>
      </c>
      <c r="E875" s="15">
        <v>58.98</v>
      </c>
      <c r="F875" s="22"/>
      <c r="H875" s="17" t="s">
        <v>133</v>
      </c>
      <c r="N875" s="7"/>
      <c r="O875" s="7"/>
    </row>
    <row r="876">
      <c r="A876" s="9" t="s">
        <v>47</v>
      </c>
      <c r="B876" s="21">
        <v>46155.0</v>
      </c>
      <c r="C876" s="9" t="s">
        <v>197</v>
      </c>
      <c r="D876" s="9" t="s">
        <v>488</v>
      </c>
      <c r="E876" s="15">
        <v>94.4</v>
      </c>
      <c r="F876" s="22"/>
      <c r="H876" s="17" t="s">
        <v>852</v>
      </c>
      <c r="N876" s="7"/>
      <c r="O876" s="7"/>
    </row>
    <row r="877">
      <c r="A877" s="9" t="s">
        <v>47</v>
      </c>
      <c r="B877" s="21">
        <v>46155.0</v>
      </c>
      <c r="C877" s="9" t="s">
        <v>197</v>
      </c>
      <c r="D877" s="9" t="s">
        <v>580</v>
      </c>
      <c r="E877" s="15">
        <v>98.4</v>
      </c>
      <c r="F877" s="22"/>
      <c r="H877" s="17" t="s">
        <v>853</v>
      </c>
      <c r="N877" s="7"/>
      <c r="O877" s="7"/>
    </row>
    <row r="878">
      <c r="A878" s="9" t="s">
        <v>47</v>
      </c>
      <c r="B878" s="21">
        <v>46155.0</v>
      </c>
      <c r="C878" s="9" t="s">
        <v>196</v>
      </c>
      <c r="D878" s="9" t="s">
        <v>584</v>
      </c>
      <c r="E878" s="15">
        <v>89.35</v>
      </c>
      <c r="F878" s="22"/>
      <c r="H878" s="17" t="s">
        <v>854</v>
      </c>
      <c r="N878" s="7"/>
      <c r="O878" s="7"/>
    </row>
    <row r="879">
      <c r="A879" s="9" t="s">
        <v>47</v>
      </c>
      <c r="B879" s="21">
        <v>46155.0</v>
      </c>
      <c r="C879" s="9" t="s">
        <v>197</v>
      </c>
      <c r="D879" s="9" t="s">
        <v>590</v>
      </c>
      <c r="E879" s="15">
        <v>98.05</v>
      </c>
      <c r="F879" s="22"/>
      <c r="H879" s="17" t="s">
        <v>855</v>
      </c>
      <c r="N879" s="7"/>
      <c r="O879" s="7"/>
    </row>
    <row r="880">
      <c r="A880" s="9" t="s">
        <v>47</v>
      </c>
      <c r="B880" s="21">
        <v>46155.0</v>
      </c>
      <c r="C880" s="9" t="s">
        <v>193</v>
      </c>
      <c r="D880" s="9" t="s">
        <v>597</v>
      </c>
      <c r="E880" s="15">
        <v>78.2</v>
      </c>
      <c r="F880" s="22"/>
      <c r="H880" s="17" t="s">
        <v>856</v>
      </c>
      <c r="N880" s="7"/>
      <c r="O880" s="7"/>
    </row>
    <row r="881">
      <c r="A881" s="9" t="s">
        <v>50</v>
      </c>
      <c r="B881" s="21">
        <v>46157.0</v>
      </c>
      <c r="C881" s="9" t="s">
        <v>196</v>
      </c>
      <c r="D881" s="9" t="s">
        <v>597</v>
      </c>
      <c r="E881" s="15">
        <v>64.05</v>
      </c>
      <c r="F881" s="22"/>
      <c r="H881" s="17" t="s">
        <v>133</v>
      </c>
      <c r="N881" s="7"/>
      <c r="O881" s="7"/>
    </row>
    <row r="882">
      <c r="A882" s="9" t="s">
        <v>50</v>
      </c>
      <c r="B882" s="21">
        <v>46157.0</v>
      </c>
      <c r="C882" s="9" t="s">
        <v>193</v>
      </c>
      <c r="D882" s="9" t="s">
        <v>597</v>
      </c>
      <c r="E882" s="15">
        <v>31.3</v>
      </c>
      <c r="F882" s="22"/>
      <c r="H882" s="17" t="s">
        <v>133</v>
      </c>
      <c r="N882" s="7"/>
      <c r="O882" s="7"/>
    </row>
    <row r="883">
      <c r="A883" s="9" t="s">
        <v>50</v>
      </c>
      <c r="B883" s="21">
        <v>46157.0</v>
      </c>
      <c r="C883" s="9" t="s">
        <v>194</v>
      </c>
      <c r="D883" s="9" t="s">
        <v>597</v>
      </c>
      <c r="E883" s="15">
        <v>34.8</v>
      </c>
      <c r="F883" s="22"/>
      <c r="H883" s="17" t="s">
        <v>133</v>
      </c>
      <c r="N883" s="7"/>
      <c r="O883" s="7"/>
    </row>
    <row r="884">
      <c r="A884" s="9" t="s">
        <v>50</v>
      </c>
      <c r="B884" s="21">
        <v>46157.0</v>
      </c>
      <c r="C884" s="9" t="s">
        <v>706</v>
      </c>
      <c r="D884" s="9" t="s">
        <v>600</v>
      </c>
      <c r="E884" s="15">
        <v>78.8</v>
      </c>
      <c r="F884" s="22"/>
      <c r="H884" s="17" t="s">
        <v>696</v>
      </c>
      <c r="N884" s="7"/>
      <c r="O884" s="7"/>
    </row>
    <row r="885">
      <c r="A885" s="9" t="s">
        <v>50</v>
      </c>
      <c r="B885" s="21">
        <v>46157.0</v>
      </c>
      <c r="C885" s="9" t="s">
        <v>706</v>
      </c>
      <c r="D885" s="9" t="s">
        <v>604</v>
      </c>
      <c r="E885" s="15">
        <v>101.3</v>
      </c>
      <c r="F885" s="22"/>
      <c r="H885" s="17" t="s">
        <v>664</v>
      </c>
      <c r="N885" s="7"/>
      <c r="O885" s="7"/>
    </row>
    <row r="886">
      <c r="A886" s="9" t="s">
        <v>9</v>
      </c>
      <c r="B886" s="21">
        <v>46157.0</v>
      </c>
      <c r="C886" s="9" t="s">
        <v>190</v>
      </c>
      <c r="D886" s="9" t="s">
        <v>461</v>
      </c>
      <c r="E886" s="15">
        <v>58.9</v>
      </c>
      <c r="F886" s="22"/>
      <c r="H886" s="17" t="s">
        <v>857</v>
      </c>
      <c r="N886" s="7"/>
      <c r="O886" s="7"/>
    </row>
    <row r="887">
      <c r="A887" s="9" t="s">
        <v>9</v>
      </c>
      <c r="B887" s="21">
        <v>46157.0</v>
      </c>
      <c r="C887" s="9" t="s">
        <v>197</v>
      </c>
      <c r="D887" s="9" t="s">
        <v>461</v>
      </c>
      <c r="E887" s="15">
        <v>52.2</v>
      </c>
      <c r="F887" s="22"/>
      <c r="H887" s="17" t="s">
        <v>133</v>
      </c>
      <c r="N887" s="7"/>
      <c r="O887" s="7"/>
    </row>
    <row r="888">
      <c r="A888" s="9" t="s">
        <v>47</v>
      </c>
      <c r="B888" s="21">
        <v>46160.0</v>
      </c>
      <c r="C888" s="9" t="s">
        <v>193</v>
      </c>
      <c r="D888" s="9" t="s">
        <v>457</v>
      </c>
      <c r="E888" s="15">
        <v>87.35</v>
      </c>
      <c r="F888" s="22"/>
      <c r="H888" s="17" t="s">
        <v>858</v>
      </c>
      <c r="N888" s="7"/>
      <c r="O888" s="7"/>
    </row>
    <row r="889">
      <c r="A889" s="9" t="s">
        <v>47</v>
      </c>
      <c r="B889" s="21">
        <v>46160.0</v>
      </c>
      <c r="C889" s="9" t="s">
        <v>197</v>
      </c>
      <c r="D889" s="9" t="s">
        <v>580</v>
      </c>
      <c r="E889" s="15">
        <v>100.0</v>
      </c>
      <c r="F889" s="22"/>
      <c r="H889" s="17" t="s">
        <v>859</v>
      </c>
      <c r="N889" s="7"/>
      <c r="O889" s="7"/>
    </row>
    <row r="890">
      <c r="A890" s="9" t="s">
        <v>47</v>
      </c>
      <c r="B890" s="21">
        <v>46160.0</v>
      </c>
      <c r="C890" s="9" t="s">
        <v>196</v>
      </c>
      <c r="D890" s="9" t="s">
        <v>590</v>
      </c>
      <c r="E890" s="15">
        <v>101.0</v>
      </c>
      <c r="F890" s="22"/>
      <c r="H890" s="17" t="s">
        <v>696</v>
      </c>
      <c r="N890" s="7"/>
      <c r="O890" s="7"/>
    </row>
    <row r="891">
      <c r="A891" s="9" t="s">
        <v>47</v>
      </c>
      <c r="B891" s="21">
        <v>46160.0</v>
      </c>
      <c r="C891" s="9" t="s">
        <v>197</v>
      </c>
      <c r="D891" s="9" t="s">
        <v>488</v>
      </c>
      <c r="E891" s="15">
        <v>95.35</v>
      </c>
      <c r="F891" s="22"/>
      <c r="H891" s="17" t="s">
        <v>860</v>
      </c>
      <c r="N891" s="7"/>
      <c r="O891" s="7"/>
    </row>
    <row r="892">
      <c r="A892" s="9" t="s">
        <v>47</v>
      </c>
      <c r="B892" s="21">
        <v>46162.0</v>
      </c>
      <c r="C892" s="9" t="s">
        <v>193</v>
      </c>
      <c r="D892" s="9" t="s">
        <v>480</v>
      </c>
      <c r="E892" s="15">
        <v>107.6</v>
      </c>
      <c r="F892" s="22"/>
      <c r="H892" s="17" t="s">
        <v>861</v>
      </c>
      <c r="N892" s="7"/>
      <c r="O892" s="7"/>
    </row>
    <row r="893">
      <c r="A893" s="9" t="s">
        <v>47</v>
      </c>
      <c r="B893" s="21">
        <v>46162.0</v>
      </c>
      <c r="C893" s="9" t="s">
        <v>196</v>
      </c>
      <c r="D893" s="9" t="s">
        <v>584</v>
      </c>
      <c r="E893" s="15">
        <v>93.4</v>
      </c>
      <c r="F893" s="22"/>
      <c r="H893" s="17" t="s">
        <v>862</v>
      </c>
      <c r="N893" s="7"/>
      <c r="O893" s="7"/>
    </row>
    <row r="894">
      <c r="A894" s="9" t="s">
        <v>47</v>
      </c>
      <c r="B894" s="21">
        <v>46162.0</v>
      </c>
      <c r="C894" s="9" t="s">
        <v>706</v>
      </c>
      <c r="D894" s="9" t="s">
        <v>593</v>
      </c>
      <c r="E894" s="15">
        <v>93.65</v>
      </c>
      <c r="F894" s="22"/>
      <c r="H894" s="17" t="s">
        <v>436</v>
      </c>
      <c r="N894" s="7"/>
      <c r="O894" s="7"/>
    </row>
    <row r="895">
      <c r="A895" s="9" t="s">
        <v>50</v>
      </c>
      <c r="B895" s="21">
        <v>46162.0</v>
      </c>
      <c r="C895" s="9" t="s">
        <v>190</v>
      </c>
      <c r="D895" s="9" t="s">
        <v>461</v>
      </c>
      <c r="E895" s="15">
        <v>41.0</v>
      </c>
      <c r="F895" s="22"/>
      <c r="H895" s="17" t="s">
        <v>133</v>
      </c>
      <c r="N895" s="7"/>
      <c r="O895" s="7"/>
    </row>
    <row r="896">
      <c r="A896" s="9" t="s">
        <v>47</v>
      </c>
      <c r="B896" s="21">
        <v>46164.0</v>
      </c>
      <c r="C896" s="9" t="s">
        <v>193</v>
      </c>
      <c r="D896" s="9" t="s">
        <v>597</v>
      </c>
      <c r="E896" s="15">
        <v>105.2</v>
      </c>
      <c r="F896" s="22"/>
      <c r="H896" s="17" t="s">
        <v>863</v>
      </c>
      <c r="N896" s="7"/>
      <c r="O896" s="7"/>
    </row>
    <row r="897">
      <c r="A897" s="9" t="s">
        <v>47</v>
      </c>
      <c r="B897" s="21">
        <v>46164.0</v>
      </c>
      <c r="C897" s="9" t="s">
        <v>196</v>
      </c>
      <c r="D897" s="9" t="s">
        <v>593</v>
      </c>
      <c r="E897" s="15">
        <v>54.8</v>
      </c>
      <c r="F897" s="22"/>
      <c r="H897" s="17" t="s">
        <v>133</v>
      </c>
      <c r="N897" s="7"/>
      <c r="O897" s="7"/>
    </row>
    <row r="898">
      <c r="A898" s="9" t="s">
        <v>47</v>
      </c>
      <c r="B898" s="21">
        <v>46164.0</v>
      </c>
      <c r="C898" s="9" t="s">
        <v>196</v>
      </c>
      <c r="D898" s="9" t="s">
        <v>488</v>
      </c>
      <c r="E898" s="15">
        <v>100.95</v>
      </c>
      <c r="F898" s="22"/>
      <c r="H898" s="17" t="s">
        <v>436</v>
      </c>
      <c r="N898" s="7"/>
      <c r="O898" s="7"/>
    </row>
    <row r="899">
      <c r="A899" s="9" t="s">
        <v>9</v>
      </c>
      <c r="B899" s="21">
        <v>46164.0</v>
      </c>
      <c r="C899" s="9" t="s">
        <v>194</v>
      </c>
      <c r="D899" s="9" t="s">
        <v>580</v>
      </c>
      <c r="E899" s="15">
        <v>45.67</v>
      </c>
      <c r="F899" s="22"/>
      <c r="H899" s="17" t="s">
        <v>133</v>
      </c>
      <c r="N899" s="7"/>
      <c r="O899" s="7"/>
    </row>
    <row r="900">
      <c r="A900" s="9" t="s">
        <v>9</v>
      </c>
      <c r="B900" s="21">
        <v>46164.0</v>
      </c>
      <c r="C900" s="9" t="s">
        <v>190</v>
      </c>
      <c r="D900" s="9" t="s">
        <v>580</v>
      </c>
      <c r="E900" s="15">
        <v>68.32</v>
      </c>
      <c r="F900" s="22"/>
      <c r="H900" s="17" t="s">
        <v>867</v>
      </c>
      <c r="N900" s="7"/>
      <c r="O900" s="7"/>
    </row>
    <row r="901">
      <c r="A901" s="9" t="s">
        <v>47</v>
      </c>
      <c r="B901" s="21">
        <v>46167.0</v>
      </c>
      <c r="C901" s="9" t="s">
        <v>190</v>
      </c>
      <c r="D901" s="9" t="s">
        <v>590</v>
      </c>
      <c r="E901" s="15">
        <v>102.6</v>
      </c>
      <c r="F901" s="22"/>
      <c r="H901" s="17" t="s">
        <v>868</v>
      </c>
      <c r="N901" s="7"/>
      <c r="O901" s="7"/>
    </row>
    <row r="902">
      <c r="A902" s="9" t="s">
        <v>47</v>
      </c>
      <c r="B902" s="21">
        <v>46167.0</v>
      </c>
      <c r="C902" s="9" t="s">
        <v>197</v>
      </c>
      <c r="D902" s="9" t="s">
        <v>488</v>
      </c>
      <c r="E902" s="15">
        <v>99.85</v>
      </c>
      <c r="F902" s="22"/>
      <c r="H902" s="17" t="s">
        <v>869</v>
      </c>
      <c r="N902" s="7"/>
      <c r="O902" s="7"/>
    </row>
    <row r="903">
      <c r="A903" s="9" t="s">
        <v>47</v>
      </c>
      <c r="B903" s="21">
        <v>46167.0</v>
      </c>
      <c r="C903" s="9" t="s">
        <v>197</v>
      </c>
      <c r="D903" s="9" t="s">
        <v>580</v>
      </c>
      <c r="E903" s="15">
        <v>78.0</v>
      </c>
      <c r="F903" s="22"/>
      <c r="H903" s="17" t="s">
        <v>870</v>
      </c>
      <c r="N903" s="7"/>
      <c r="O903" s="7"/>
    </row>
    <row r="904">
      <c r="A904" s="9" t="s">
        <v>50</v>
      </c>
      <c r="B904" s="21">
        <v>46167.0</v>
      </c>
      <c r="C904" s="9" t="s">
        <v>190</v>
      </c>
      <c r="D904" s="9" t="s">
        <v>584</v>
      </c>
      <c r="E904" s="15">
        <v>100.32</v>
      </c>
      <c r="F904" s="22"/>
      <c r="H904" s="17" t="s">
        <v>871</v>
      </c>
      <c r="N904" s="7"/>
      <c r="O904" s="7"/>
    </row>
    <row r="905">
      <c r="A905" s="9" t="s">
        <v>50</v>
      </c>
      <c r="B905" s="21">
        <v>46167.0</v>
      </c>
      <c r="C905" s="9" t="s">
        <v>196</v>
      </c>
      <c r="D905" s="9" t="s">
        <v>597</v>
      </c>
      <c r="E905" s="15">
        <v>108.02</v>
      </c>
      <c r="F905" s="22"/>
      <c r="H905" s="17" t="s">
        <v>872</v>
      </c>
      <c r="N905" s="7"/>
      <c r="O905" s="7"/>
    </row>
    <row r="906">
      <c r="A906" s="9" t="s">
        <v>9</v>
      </c>
      <c r="B906" s="21">
        <v>46169.0</v>
      </c>
      <c r="C906" s="9" t="s">
        <v>193</v>
      </c>
      <c r="D906" s="9" t="s">
        <v>480</v>
      </c>
      <c r="E906" s="15">
        <v>105.1</v>
      </c>
      <c r="F906" s="22"/>
      <c r="H906" s="17" t="s">
        <v>873</v>
      </c>
      <c r="N906" s="7"/>
      <c r="O906" s="7"/>
    </row>
    <row r="907">
      <c r="A907" s="9" t="s">
        <v>50</v>
      </c>
      <c r="B907" s="21">
        <v>46169.0</v>
      </c>
      <c r="C907" s="9" t="s">
        <v>706</v>
      </c>
      <c r="D907" s="9" t="s">
        <v>593</v>
      </c>
      <c r="E907" s="15">
        <v>102.5</v>
      </c>
      <c r="F907" s="22"/>
      <c r="H907" s="17"/>
      <c r="N907" s="7"/>
      <c r="O907" s="7"/>
    </row>
    <row r="908">
      <c r="A908" s="9" t="s">
        <v>50</v>
      </c>
      <c r="B908" s="21">
        <v>46169.0</v>
      </c>
      <c r="C908" s="9" t="s">
        <v>197</v>
      </c>
      <c r="D908" s="9" t="s">
        <v>593</v>
      </c>
      <c r="E908" s="15">
        <v>103.0</v>
      </c>
      <c r="F908" s="22"/>
      <c r="H908" s="17"/>
      <c r="N908" s="7"/>
      <c r="O908" s="7"/>
    </row>
    <row r="909">
      <c r="A909" s="9" t="s">
        <v>50</v>
      </c>
      <c r="B909" s="21">
        <v>46169.0</v>
      </c>
      <c r="C909" s="9" t="s">
        <v>196</v>
      </c>
      <c r="D909" s="9" t="s">
        <v>480</v>
      </c>
      <c r="E909" s="15">
        <v>104.3</v>
      </c>
      <c r="F909" s="22"/>
      <c r="H909" s="17"/>
      <c r="N909" s="7"/>
      <c r="O909" s="7"/>
    </row>
    <row r="910">
      <c r="A910" s="9" t="s">
        <v>47</v>
      </c>
      <c r="B910" s="21">
        <v>46170.0</v>
      </c>
      <c r="C910" s="9" t="s">
        <v>193</v>
      </c>
      <c r="D910" s="9" t="s">
        <v>584</v>
      </c>
      <c r="E910" s="15">
        <v>103.35</v>
      </c>
      <c r="F910" s="22"/>
      <c r="H910" s="17" t="s">
        <v>874</v>
      </c>
      <c r="N910" s="7"/>
      <c r="O910" s="7"/>
    </row>
    <row r="911">
      <c r="A911" s="9" t="s">
        <v>47</v>
      </c>
      <c r="B911" s="21">
        <v>46170.0</v>
      </c>
      <c r="C911" s="9" t="s">
        <v>196</v>
      </c>
      <c r="D911" s="9" t="s">
        <v>590</v>
      </c>
      <c r="E911" s="15">
        <v>98.5</v>
      </c>
      <c r="F911" s="22"/>
      <c r="H911" s="17" t="s">
        <v>875</v>
      </c>
      <c r="N911" s="7"/>
      <c r="O911" s="7"/>
    </row>
    <row r="912">
      <c r="A912" s="9" t="s">
        <v>47</v>
      </c>
      <c r="B912" s="21">
        <v>46170.0</v>
      </c>
      <c r="C912" s="9" t="s">
        <v>196</v>
      </c>
      <c r="D912" s="9" t="s">
        <v>593</v>
      </c>
      <c r="E912" s="15">
        <v>58.9</v>
      </c>
      <c r="F912" s="22"/>
      <c r="H912" s="17" t="s">
        <v>876</v>
      </c>
      <c r="N912" s="7"/>
      <c r="O912" s="7"/>
    </row>
    <row r="913">
      <c r="A913" s="9" t="s">
        <v>9</v>
      </c>
      <c r="B913" s="21">
        <v>46170.0</v>
      </c>
      <c r="C913" s="9" t="s">
        <v>196</v>
      </c>
      <c r="D913" s="9" t="s">
        <v>480</v>
      </c>
      <c r="E913" s="15">
        <v>105.1</v>
      </c>
      <c r="F913" s="22"/>
      <c r="H913" s="17" t="s">
        <v>877</v>
      </c>
      <c r="N913" s="7"/>
      <c r="O913" s="7"/>
    </row>
    <row r="914">
      <c r="A914" s="9" t="s">
        <v>9</v>
      </c>
      <c r="B914" s="21">
        <v>46170.0</v>
      </c>
      <c r="C914" s="9" t="s">
        <v>190</v>
      </c>
      <c r="D914" s="9" t="s">
        <v>488</v>
      </c>
      <c r="E914" s="15">
        <v>115.36</v>
      </c>
      <c r="F914" s="22"/>
      <c r="H914" s="17" t="s">
        <v>878</v>
      </c>
      <c r="N914" s="7"/>
      <c r="O914" s="7"/>
    </row>
    <row r="915">
      <c r="A915" s="9" t="s">
        <v>9</v>
      </c>
      <c r="B915" s="21">
        <v>46171.0</v>
      </c>
      <c r="C915" s="9" t="s">
        <v>193</v>
      </c>
      <c r="D915" s="9" t="s">
        <v>580</v>
      </c>
      <c r="E915" s="15">
        <v>123.35</v>
      </c>
      <c r="F915" s="22"/>
      <c r="H915" s="17" t="s">
        <v>436</v>
      </c>
      <c r="N915" s="7"/>
      <c r="O915" s="7"/>
    </row>
    <row r="916">
      <c r="A916" s="9" t="s">
        <v>9</v>
      </c>
      <c r="B916" s="21">
        <v>46171.0</v>
      </c>
      <c r="C916" s="9" t="s">
        <v>196</v>
      </c>
      <c r="D916" s="9" t="s">
        <v>584</v>
      </c>
      <c r="E916" s="15">
        <v>114.98</v>
      </c>
      <c r="F916" s="22"/>
      <c r="H916" s="17" t="s">
        <v>696</v>
      </c>
      <c r="N916" s="7"/>
      <c r="O916" s="7"/>
    </row>
    <row r="917">
      <c r="A917" s="9" t="s">
        <v>47</v>
      </c>
      <c r="B917" s="21">
        <v>46174.0</v>
      </c>
      <c r="C917" s="9" t="s">
        <v>196</v>
      </c>
      <c r="D917" s="9" t="s">
        <v>488</v>
      </c>
      <c r="E917" s="15">
        <v>104.97</v>
      </c>
      <c r="F917" s="22"/>
      <c r="H917" s="17" t="s">
        <v>436</v>
      </c>
      <c r="N917" s="7"/>
      <c r="O917" s="7"/>
    </row>
    <row r="918">
      <c r="A918" s="9" t="s">
        <v>47</v>
      </c>
      <c r="B918" s="21">
        <v>46174.0</v>
      </c>
      <c r="C918" s="9" t="s">
        <v>193</v>
      </c>
      <c r="D918" s="9" t="s">
        <v>580</v>
      </c>
      <c r="E918" s="15">
        <v>105.08</v>
      </c>
      <c r="F918" s="22"/>
      <c r="H918" s="17" t="s">
        <v>696</v>
      </c>
      <c r="N918" s="7"/>
      <c r="O918" s="7"/>
    </row>
    <row r="919">
      <c r="A919" s="9" t="s">
        <v>47</v>
      </c>
      <c r="B919" s="21">
        <v>46174.0</v>
      </c>
      <c r="C919" s="9" t="s">
        <v>197</v>
      </c>
      <c r="D919" s="9" t="s">
        <v>584</v>
      </c>
      <c r="E919" s="15">
        <v>125.3</v>
      </c>
      <c r="F919" s="22"/>
      <c r="H919" s="17" t="s">
        <v>696</v>
      </c>
      <c r="N919" s="7"/>
      <c r="O919" s="7"/>
    </row>
    <row r="920">
      <c r="A920" s="9" t="s">
        <v>47</v>
      </c>
      <c r="B920" s="21">
        <v>46174.0</v>
      </c>
      <c r="C920" s="9" t="s">
        <v>706</v>
      </c>
      <c r="D920" s="9" t="s">
        <v>590</v>
      </c>
      <c r="E920" s="15">
        <v>115.5</v>
      </c>
      <c r="F920" s="22"/>
      <c r="H920" s="17" t="s">
        <v>436</v>
      </c>
      <c r="N920" s="7"/>
      <c r="O920" s="7"/>
    </row>
    <row r="921">
      <c r="A921" s="9" t="s">
        <v>50</v>
      </c>
      <c r="B921" s="21">
        <v>46176.0</v>
      </c>
      <c r="C921" s="9" t="s">
        <v>193</v>
      </c>
      <c r="D921" s="9" t="s">
        <v>593</v>
      </c>
      <c r="E921" s="15">
        <v>130.1</v>
      </c>
      <c r="F921" s="22"/>
      <c r="H921" s="17" t="s">
        <v>879</v>
      </c>
      <c r="N921" s="7"/>
      <c r="O921" s="7"/>
    </row>
    <row r="922">
      <c r="A922" s="9" t="s">
        <v>50</v>
      </c>
      <c r="B922" s="21">
        <v>46176.0</v>
      </c>
      <c r="C922" s="9" t="s">
        <v>196</v>
      </c>
      <c r="D922" s="9" t="s">
        <v>684</v>
      </c>
      <c r="E922" s="15">
        <v>123.23</v>
      </c>
      <c r="F922" s="22"/>
      <c r="H922" s="17" t="s">
        <v>436</v>
      </c>
      <c r="N922" s="7"/>
      <c r="O922" s="7"/>
    </row>
    <row r="923">
      <c r="A923" s="9" t="s">
        <v>9</v>
      </c>
      <c r="B923" s="21">
        <v>46178.0</v>
      </c>
      <c r="C923" s="9" t="s">
        <v>197</v>
      </c>
      <c r="D923" s="9" t="s">
        <v>584</v>
      </c>
      <c r="E923" s="15">
        <v>103.2</v>
      </c>
      <c r="F923" s="22"/>
      <c r="H923" s="17" t="s">
        <v>880</v>
      </c>
      <c r="N923" s="7"/>
      <c r="O923" s="7"/>
    </row>
    <row r="924">
      <c r="A924" s="9" t="s">
        <v>9</v>
      </c>
      <c r="B924" s="21">
        <v>46178.0</v>
      </c>
      <c r="C924" s="9" t="s">
        <v>193</v>
      </c>
      <c r="D924" s="9" t="s">
        <v>590</v>
      </c>
      <c r="E924" s="15">
        <v>105.0</v>
      </c>
      <c r="F924" s="22"/>
      <c r="H924" s="17" t="s">
        <v>664</v>
      </c>
      <c r="N924" s="7"/>
      <c r="O924" s="7"/>
    </row>
    <row r="925">
      <c r="A925" s="9" t="s">
        <v>9</v>
      </c>
      <c r="B925" s="21">
        <v>46178.0</v>
      </c>
      <c r="C925" s="9" t="s">
        <v>706</v>
      </c>
      <c r="D925" s="9" t="s">
        <v>682</v>
      </c>
      <c r="E925" s="15">
        <v>106.36</v>
      </c>
      <c r="F925" s="22"/>
      <c r="H925" s="17" t="s">
        <v>881</v>
      </c>
      <c r="N925" s="7"/>
      <c r="O925" s="7"/>
    </row>
    <row r="926">
      <c r="A926" s="9" t="s">
        <v>9</v>
      </c>
      <c r="B926" s="21">
        <v>46181.0</v>
      </c>
      <c r="C926" s="9" t="s">
        <v>706</v>
      </c>
      <c r="D926" s="9" t="s">
        <v>461</v>
      </c>
      <c r="E926" s="15">
        <v>105.67</v>
      </c>
      <c r="F926" s="22"/>
      <c r="H926" s="17" t="s">
        <v>882</v>
      </c>
      <c r="N926" s="7"/>
      <c r="O926" s="7"/>
    </row>
    <row r="927">
      <c r="A927" s="9" t="s">
        <v>9</v>
      </c>
      <c r="B927" s="21">
        <v>46181.0</v>
      </c>
      <c r="C927" s="9" t="s">
        <v>196</v>
      </c>
      <c r="D927" s="9" t="s">
        <v>484</v>
      </c>
      <c r="E927" s="15">
        <v>110.09</v>
      </c>
      <c r="F927" s="22"/>
      <c r="H927" s="17" t="s">
        <v>883</v>
      </c>
      <c r="N927" s="7"/>
      <c r="O927" s="7"/>
    </row>
    <row r="928">
      <c r="A928" s="9" t="s">
        <v>9</v>
      </c>
      <c r="B928" s="21">
        <v>46181.0</v>
      </c>
      <c r="C928" s="9" t="s">
        <v>193</v>
      </c>
      <c r="D928" s="9" t="s">
        <v>488</v>
      </c>
      <c r="E928" s="15">
        <v>107.56</v>
      </c>
      <c r="F928" s="22"/>
      <c r="H928" s="17" t="s">
        <v>884</v>
      </c>
      <c r="N928" s="7"/>
      <c r="O928" s="7"/>
    </row>
    <row r="929">
      <c r="A929" s="9" t="s">
        <v>9</v>
      </c>
      <c r="B929" s="21">
        <v>46181.0</v>
      </c>
      <c r="C929" s="9" t="s">
        <v>197</v>
      </c>
      <c r="D929" s="9" t="s">
        <v>580</v>
      </c>
      <c r="E929" s="15">
        <v>112.88</v>
      </c>
      <c r="F929" s="22"/>
      <c r="H929" s="17" t="s">
        <v>885</v>
      </c>
      <c r="N929" s="7"/>
      <c r="O929" s="7"/>
    </row>
    <row r="930">
      <c r="A930" s="9" t="s">
        <v>47</v>
      </c>
      <c r="B930" s="21">
        <v>46184.0</v>
      </c>
      <c r="C930" s="9" t="s">
        <v>193</v>
      </c>
      <c r="D930" s="9" t="s">
        <v>580</v>
      </c>
      <c r="E930" s="15">
        <v>102.8</v>
      </c>
      <c r="F930" s="22"/>
      <c r="H930" s="17" t="s">
        <v>436</v>
      </c>
      <c r="N930" s="7"/>
      <c r="O930" s="7"/>
    </row>
    <row r="931">
      <c r="A931" s="9" t="s">
        <v>47</v>
      </c>
      <c r="B931" s="21">
        <v>46184.0</v>
      </c>
      <c r="C931" s="9" t="s">
        <v>196</v>
      </c>
      <c r="D931" s="9" t="s">
        <v>584</v>
      </c>
      <c r="E931" s="15">
        <v>95.2</v>
      </c>
      <c r="F931" s="22"/>
      <c r="H931" s="17" t="s">
        <v>436</v>
      </c>
      <c r="N931" s="7"/>
      <c r="O931" s="7"/>
    </row>
    <row r="932">
      <c r="A932" s="9" t="s">
        <v>47</v>
      </c>
      <c r="B932" s="21">
        <v>46184.0</v>
      </c>
      <c r="C932" s="9" t="s">
        <v>196</v>
      </c>
      <c r="D932" s="9" t="s">
        <v>682</v>
      </c>
      <c r="E932" s="15">
        <v>96.45</v>
      </c>
      <c r="F932" s="22"/>
      <c r="H932" s="17" t="s">
        <v>696</v>
      </c>
      <c r="N932" s="7"/>
      <c r="O932" s="7"/>
    </row>
    <row r="933">
      <c r="A933" s="9" t="s">
        <v>47</v>
      </c>
      <c r="B933" s="21">
        <v>46184.0</v>
      </c>
      <c r="C933" s="9" t="s">
        <v>197</v>
      </c>
      <c r="D933" s="9" t="s">
        <v>684</v>
      </c>
      <c r="E933" s="15">
        <v>99.8</v>
      </c>
      <c r="F933" s="22"/>
      <c r="H933" s="17" t="s">
        <v>886</v>
      </c>
      <c r="N933" s="7"/>
      <c r="O933" s="7"/>
    </row>
    <row r="934">
      <c r="A934" s="9" t="s">
        <v>688</v>
      </c>
      <c r="B934" s="21">
        <v>46185.0</v>
      </c>
      <c r="C934" s="9" t="s">
        <v>706</v>
      </c>
      <c r="D934" s="9" t="s">
        <v>488</v>
      </c>
      <c r="E934" s="15">
        <v>98.9</v>
      </c>
      <c r="F934" s="22"/>
      <c r="H934" s="17" t="s">
        <v>696</v>
      </c>
      <c r="N934" s="7"/>
      <c r="O934" s="7"/>
    </row>
    <row r="935">
      <c r="A935" s="9" t="s">
        <v>688</v>
      </c>
      <c r="B935" s="21">
        <v>46185.0</v>
      </c>
      <c r="C935" s="9" t="s">
        <v>193</v>
      </c>
      <c r="D935" s="9" t="s">
        <v>461</v>
      </c>
      <c r="E935" s="15">
        <v>95.2</v>
      </c>
      <c r="F935" s="22"/>
      <c r="H935" s="17" t="s">
        <v>696</v>
      </c>
      <c r="N935" s="7"/>
      <c r="O935" s="7"/>
    </row>
    <row r="936">
      <c r="A936" s="9" t="s">
        <v>688</v>
      </c>
      <c r="B936" s="21">
        <v>46185.0</v>
      </c>
      <c r="C936" s="9" t="s">
        <v>190</v>
      </c>
      <c r="D936" s="9" t="s">
        <v>600</v>
      </c>
      <c r="E936" s="15">
        <v>101.2</v>
      </c>
      <c r="F936" s="22"/>
      <c r="H936" s="17" t="s">
        <v>696</v>
      </c>
      <c r="N936" s="7"/>
      <c r="O936" s="7"/>
    </row>
    <row r="937">
      <c r="A937" s="9" t="s">
        <v>688</v>
      </c>
      <c r="B937" s="21">
        <v>46185.0</v>
      </c>
      <c r="C937" s="9" t="s">
        <v>196</v>
      </c>
      <c r="D937" s="9" t="s">
        <v>593</v>
      </c>
      <c r="E937" s="15">
        <v>83.0</v>
      </c>
      <c r="F937" s="22"/>
      <c r="H937" s="17" t="s">
        <v>696</v>
      </c>
      <c r="N937" s="7"/>
      <c r="O937" s="7"/>
    </row>
    <row r="938">
      <c r="A938" s="9" t="s">
        <v>47</v>
      </c>
      <c r="B938" s="21">
        <v>46188.0</v>
      </c>
      <c r="C938" s="9" t="s">
        <v>196</v>
      </c>
      <c r="D938" s="9" t="s">
        <v>453</v>
      </c>
      <c r="E938" s="15">
        <v>111.4</v>
      </c>
      <c r="F938" s="22"/>
      <c r="H938" s="17" t="s">
        <v>436</v>
      </c>
      <c r="N938" s="7"/>
      <c r="O938" s="7"/>
    </row>
    <row r="939">
      <c r="A939" s="9" t="s">
        <v>47</v>
      </c>
      <c r="B939" s="21">
        <v>46188.0</v>
      </c>
      <c r="C939" s="9" t="s">
        <v>193</v>
      </c>
      <c r="D939" s="9" t="s">
        <v>590</v>
      </c>
      <c r="E939" s="15">
        <v>123.1</v>
      </c>
      <c r="F939" s="22"/>
      <c r="H939" s="17" t="s">
        <v>436</v>
      </c>
      <c r="N939" s="7"/>
      <c r="O939" s="7"/>
    </row>
    <row r="940">
      <c r="A940" s="9" t="s">
        <v>47</v>
      </c>
      <c r="B940" s="21">
        <v>46188.0</v>
      </c>
      <c r="C940" s="9" t="s">
        <v>706</v>
      </c>
      <c r="D940" s="9" t="s">
        <v>597</v>
      </c>
      <c r="E940" s="15">
        <v>133.3</v>
      </c>
      <c r="F940" s="22"/>
      <c r="H940" s="17" t="s">
        <v>887</v>
      </c>
      <c r="N940" s="7"/>
      <c r="O940" s="7"/>
    </row>
    <row r="941">
      <c r="A941" s="9" t="s">
        <v>47</v>
      </c>
      <c r="B941" s="21">
        <v>46188.0</v>
      </c>
      <c r="C941" s="9" t="s">
        <v>197</v>
      </c>
      <c r="D941" s="9" t="s">
        <v>600</v>
      </c>
      <c r="E941" s="15">
        <v>120.6</v>
      </c>
      <c r="F941" s="22"/>
      <c r="H941" s="17" t="s">
        <v>436</v>
      </c>
      <c r="N941" s="7"/>
      <c r="O941" s="7"/>
    </row>
    <row r="942">
      <c r="A942" s="9" t="s">
        <v>47</v>
      </c>
      <c r="B942" s="21">
        <v>46192.0</v>
      </c>
      <c r="C942" s="9" t="s">
        <v>193</v>
      </c>
      <c r="D942" s="9" t="s">
        <v>447</v>
      </c>
      <c r="E942" s="15">
        <v>101.3</v>
      </c>
      <c r="F942" s="22"/>
      <c r="H942" s="17" t="s">
        <v>664</v>
      </c>
      <c r="N942" s="7"/>
      <c r="O942" s="7"/>
    </row>
    <row r="943">
      <c r="A943" s="9" t="s">
        <v>47</v>
      </c>
      <c r="B943" s="21">
        <v>46192.0</v>
      </c>
      <c r="C943" s="9" t="s">
        <v>190</v>
      </c>
      <c r="D943" s="9" t="s">
        <v>453</v>
      </c>
      <c r="E943" s="15">
        <v>103.5</v>
      </c>
      <c r="F943" s="22"/>
      <c r="H943" s="17" t="s">
        <v>436</v>
      </c>
      <c r="N943" s="7"/>
      <c r="O943" s="7"/>
    </row>
    <row r="944">
      <c r="A944" s="9" t="s">
        <v>47</v>
      </c>
      <c r="B944" s="21">
        <v>46192.0</v>
      </c>
      <c r="C944" s="9" t="s">
        <v>196</v>
      </c>
      <c r="D944" s="9" t="s">
        <v>469</v>
      </c>
      <c r="E944" s="15">
        <v>102.36</v>
      </c>
      <c r="F944" s="22"/>
      <c r="H944" s="17" t="s">
        <v>168</v>
      </c>
      <c r="N944" s="7"/>
      <c r="O944" s="7"/>
    </row>
    <row r="945">
      <c r="A945" s="9" t="s">
        <v>47</v>
      </c>
      <c r="B945" s="21">
        <v>46192.0</v>
      </c>
      <c r="C945" s="9" t="s">
        <v>197</v>
      </c>
      <c r="D945" s="9" t="s">
        <v>584</v>
      </c>
      <c r="E945" s="15">
        <v>111.3</v>
      </c>
      <c r="F945" s="22"/>
      <c r="H945" s="17" t="s">
        <v>436</v>
      </c>
      <c r="N945" s="7"/>
      <c r="O945" s="7"/>
    </row>
    <row r="946">
      <c r="A946" s="9" t="s">
        <v>47</v>
      </c>
      <c r="B946" s="21">
        <v>46195.0</v>
      </c>
      <c r="C946" s="9" t="s">
        <v>193</v>
      </c>
      <c r="D946" s="9" t="s">
        <v>580</v>
      </c>
      <c r="E946" s="15">
        <v>120.3</v>
      </c>
      <c r="F946" s="22"/>
      <c r="H946" s="17" t="s">
        <v>664</v>
      </c>
      <c r="N946" s="7"/>
      <c r="O946" s="7"/>
    </row>
    <row r="947">
      <c r="A947" s="9" t="s">
        <v>47</v>
      </c>
      <c r="B947" s="21">
        <v>46195.0</v>
      </c>
      <c r="C947" s="9" t="s">
        <v>196</v>
      </c>
      <c r="D947" s="9" t="s">
        <v>584</v>
      </c>
      <c r="E947" s="15">
        <v>133.6</v>
      </c>
      <c r="F947" s="22"/>
      <c r="H947" s="17" t="s">
        <v>696</v>
      </c>
      <c r="N947" s="7"/>
      <c r="O947" s="7"/>
    </row>
    <row r="948">
      <c r="A948" s="9" t="s">
        <v>47</v>
      </c>
      <c r="B948" s="21">
        <v>46195.0</v>
      </c>
      <c r="C948" s="9" t="s">
        <v>197</v>
      </c>
      <c r="D948" s="9" t="s">
        <v>590</v>
      </c>
      <c r="E948" s="15">
        <v>145.6</v>
      </c>
      <c r="F948" s="22"/>
      <c r="H948" s="17" t="s">
        <v>436</v>
      </c>
      <c r="N948" s="7"/>
      <c r="O948" s="7"/>
    </row>
    <row r="949">
      <c r="A949" s="9" t="s">
        <v>47</v>
      </c>
      <c r="B949" s="21">
        <v>46195.0</v>
      </c>
      <c r="C949" s="9" t="s">
        <v>706</v>
      </c>
      <c r="D949" s="9" t="s">
        <v>604</v>
      </c>
      <c r="E949" s="15">
        <v>110.3</v>
      </c>
      <c r="F949" s="22"/>
      <c r="H949" s="17" t="s">
        <v>436</v>
      </c>
      <c r="N949" s="7"/>
      <c r="O949" s="7"/>
    </row>
    <row r="950">
      <c r="A950" s="9" t="s">
        <v>47</v>
      </c>
      <c r="B950" s="21">
        <v>46198.0</v>
      </c>
      <c r="C950" s="9" t="s">
        <v>190</v>
      </c>
      <c r="D950" s="9" t="s">
        <v>480</v>
      </c>
      <c r="E950" s="15">
        <v>122.2</v>
      </c>
      <c r="F950" s="22"/>
      <c r="H950" s="17" t="s">
        <v>664</v>
      </c>
      <c r="N950" s="7"/>
      <c r="O950" s="7"/>
    </row>
    <row r="951">
      <c r="A951" s="9" t="s">
        <v>47</v>
      </c>
      <c r="B951" s="21">
        <v>46198.0</v>
      </c>
      <c r="C951" s="9" t="s">
        <v>193</v>
      </c>
      <c r="D951" s="9" t="s">
        <v>484</v>
      </c>
      <c r="E951" s="15">
        <v>122.3</v>
      </c>
      <c r="F951" s="22"/>
      <c r="H951" s="17" t="s">
        <v>168</v>
      </c>
      <c r="N951" s="7"/>
      <c r="O951" s="7"/>
    </row>
    <row r="952">
      <c r="A952" s="9" t="s">
        <v>47</v>
      </c>
      <c r="B952" s="21">
        <v>46198.0</v>
      </c>
      <c r="C952" s="9" t="s">
        <v>706</v>
      </c>
      <c r="D952" s="9" t="s">
        <v>447</v>
      </c>
      <c r="E952" s="15">
        <v>115.6</v>
      </c>
      <c r="F952" s="22"/>
      <c r="H952" s="17" t="s">
        <v>436</v>
      </c>
      <c r="N952" s="7"/>
      <c r="O952" s="7"/>
    </row>
    <row r="953">
      <c r="A953" s="9" t="s">
        <v>47</v>
      </c>
      <c r="B953" s="21">
        <v>46199.0</v>
      </c>
      <c r="C953" s="9" t="s">
        <v>197</v>
      </c>
      <c r="D953" s="9" t="s">
        <v>488</v>
      </c>
      <c r="E953" s="15">
        <v>110.2</v>
      </c>
      <c r="F953" s="22"/>
      <c r="H953" s="17" t="s">
        <v>436</v>
      </c>
      <c r="N953" s="7"/>
      <c r="O953" s="7"/>
    </row>
    <row r="954">
      <c r="A954" s="9" t="s">
        <v>47</v>
      </c>
      <c r="B954" s="21">
        <v>46199.0</v>
      </c>
      <c r="C954" s="9" t="s">
        <v>196</v>
      </c>
      <c r="D954" s="9" t="s">
        <v>593</v>
      </c>
      <c r="E954" s="15">
        <v>115.3</v>
      </c>
      <c r="F954" s="22"/>
      <c r="H954" s="17" t="s">
        <v>436</v>
      </c>
      <c r="N954" s="7"/>
      <c r="O954" s="7"/>
    </row>
    <row r="955">
      <c r="A955" s="9" t="s">
        <v>715</v>
      </c>
      <c r="B955" s="21">
        <v>46202.0</v>
      </c>
      <c r="C955" s="9" t="s">
        <v>196</v>
      </c>
      <c r="D955" s="9" t="s">
        <v>447</v>
      </c>
      <c r="E955" s="15">
        <v>122.06</v>
      </c>
      <c r="F955" s="22"/>
      <c r="H955" s="17" t="s">
        <v>664</v>
      </c>
      <c r="N955" s="7"/>
      <c r="O955" s="7"/>
    </row>
    <row r="956">
      <c r="A956" s="9" t="s">
        <v>715</v>
      </c>
      <c r="B956" s="21">
        <v>46202.0</v>
      </c>
      <c r="C956" s="9" t="s">
        <v>197</v>
      </c>
      <c r="D956" s="9" t="s">
        <v>580</v>
      </c>
      <c r="E956" s="15">
        <v>128.89</v>
      </c>
      <c r="F956" s="22"/>
      <c r="H956" s="17" t="s">
        <v>664</v>
      </c>
      <c r="N956" s="7"/>
      <c r="O956" s="7"/>
    </row>
    <row r="957">
      <c r="A957" s="9" t="s">
        <v>715</v>
      </c>
      <c r="B957" s="21">
        <v>46202.0</v>
      </c>
      <c r="C957" s="9" t="s">
        <v>193</v>
      </c>
      <c r="D957" s="9" t="s">
        <v>447</v>
      </c>
      <c r="E957" s="15">
        <v>125.01</v>
      </c>
      <c r="F957" s="22"/>
      <c r="H957" s="17" t="s">
        <v>436</v>
      </c>
      <c r="N957" s="7"/>
      <c r="O957" s="7"/>
    </row>
    <row r="958">
      <c r="A958" s="9" t="s">
        <v>715</v>
      </c>
      <c r="B958" s="21">
        <v>46202.0</v>
      </c>
      <c r="C958" s="9" t="s">
        <v>190</v>
      </c>
      <c r="D958" s="9" t="s">
        <v>484</v>
      </c>
      <c r="E958" s="15">
        <v>124.04</v>
      </c>
      <c r="F958" s="22"/>
      <c r="H958" s="17" t="s">
        <v>696</v>
      </c>
      <c r="N958" s="7"/>
      <c r="O958" s="7"/>
    </row>
    <row r="959">
      <c r="A959" s="9" t="s">
        <v>715</v>
      </c>
      <c r="B959" s="21">
        <v>46202.0</v>
      </c>
      <c r="C959" s="9" t="s">
        <v>706</v>
      </c>
      <c r="D959" s="9" t="s">
        <v>453</v>
      </c>
      <c r="E959" s="15">
        <v>120.0</v>
      </c>
      <c r="F959" s="22"/>
      <c r="H959" s="17" t="s">
        <v>436</v>
      </c>
      <c r="N959" s="7"/>
      <c r="O959" s="7"/>
    </row>
    <row r="960">
      <c r="A960" s="9" t="s">
        <v>47</v>
      </c>
      <c r="B960" s="21">
        <v>46204.0</v>
      </c>
      <c r="C960" s="9" t="s">
        <v>196</v>
      </c>
      <c r="D960" s="9" t="s">
        <v>484</v>
      </c>
      <c r="E960" s="15">
        <v>115.3</v>
      </c>
      <c r="F960" s="22"/>
      <c r="H960" s="17" t="s">
        <v>168</v>
      </c>
      <c r="N960" s="7"/>
      <c r="O960" s="7"/>
    </row>
    <row r="961">
      <c r="A961" s="9" t="s">
        <v>47</v>
      </c>
      <c r="B961" s="21">
        <v>46204.0</v>
      </c>
      <c r="C961" s="9" t="s">
        <v>197</v>
      </c>
      <c r="D961" s="9" t="s">
        <v>469</v>
      </c>
      <c r="E961" s="15">
        <v>103.2</v>
      </c>
      <c r="F961" s="22"/>
      <c r="H961" s="17" t="s">
        <v>436</v>
      </c>
      <c r="N961" s="7"/>
      <c r="O961" s="7"/>
    </row>
    <row r="962">
      <c r="A962" s="9" t="s">
        <v>47</v>
      </c>
      <c r="B962" s="21">
        <v>46204.0</v>
      </c>
      <c r="C962" s="9" t="s">
        <v>193</v>
      </c>
      <c r="D962" s="9" t="s">
        <v>449</v>
      </c>
      <c r="E962" s="15">
        <v>119.25</v>
      </c>
      <c r="F962" s="22"/>
      <c r="H962" s="17" t="s">
        <v>888</v>
      </c>
      <c r="N962" s="7"/>
      <c r="O962" s="7"/>
    </row>
    <row r="963">
      <c r="A963" s="9" t="s">
        <v>9</v>
      </c>
      <c r="B963" s="21">
        <v>46206.0</v>
      </c>
      <c r="C963" s="9" t="s">
        <v>706</v>
      </c>
      <c r="D963" s="9" t="s">
        <v>469</v>
      </c>
      <c r="E963" s="15">
        <v>115.7</v>
      </c>
      <c r="F963" s="22"/>
      <c r="H963" s="17" t="s">
        <v>889</v>
      </c>
      <c r="N963" s="7"/>
      <c r="O963" s="7"/>
    </row>
    <row r="964">
      <c r="A964" s="9" t="s">
        <v>9</v>
      </c>
      <c r="B964" s="21">
        <v>46206.0</v>
      </c>
      <c r="C964" s="9" t="s">
        <v>190</v>
      </c>
      <c r="D964" s="9" t="s">
        <v>453</v>
      </c>
      <c r="E964" s="15">
        <v>112.01</v>
      </c>
      <c r="F964" s="22"/>
      <c r="H964" s="17" t="s">
        <v>890</v>
      </c>
      <c r="N964" s="7"/>
      <c r="O964" s="7"/>
    </row>
    <row r="965">
      <c r="A965" s="9" t="s">
        <v>9</v>
      </c>
      <c r="B965" s="21">
        <v>46206.0</v>
      </c>
      <c r="C965" s="9" t="s">
        <v>196</v>
      </c>
      <c r="D965" s="9" t="s">
        <v>469</v>
      </c>
      <c r="E965" s="15">
        <v>122.35</v>
      </c>
      <c r="F965" s="22"/>
      <c r="H965" s="17" t="s">
        <v>891</v>
      </c>
      <c r="N965" s="7"/>
      <c r="O965" s="7"/>
    </row>
    <row r="966">
      <c r="A966" s="9" t="s">
        <v>47</v>
      </c>
      <c r="B966" s="21">
        <v>46209.0</v>
      </c>
      <c r="C966" s="9" t="s">
        <v>193</v>
      </c>
      <c r="D966" s="9" t="s">
        <v>453</v>
      </c>
      <c r="E966" s="15">
        <v>125.55</v>
      </c>
      <c r="F966" s="22"/>
      <c r="H966" s="17" t="s">
        <v>436</v>
      </c>
      <c r="N966" s="7"/>
      <c r="O966" s="7"/>
    </row>
    <row r="967">
      <c r="A967" s="9" t="s">
        <v>47</v>
      </c>
      <c r="B967" s="21">
        <v>46209.0</v>
      </c>
      <c r="C967" s="9" t="s">
        <v>196</v>
      </c>
      <c r="D967" s="9" t="s">
        <v>449</v>
      </c>
      <c r="E967" s="15">
        <v>115.19</v>
      </c>
      <c r="F967" s="22"/>
      <c r="H967" s="17" t="s">
        <v>436</v>
      </c>
      <c r="N967" s="7"/>
      <c r="O967" s="7"/>
    </row>
    <row r="968">
      <c r="A968" s="9" t="s">
        <v>9</v>
      </c>
      <c r="B968" s="21">
        <v>46210.0</v>
      </c>
      <c r="C968" s="9" t="s">
        <v>193</v>
      </c>
      <c r="D968" s="9" t="s">
        <v>484</v>
      </c>
      <c r="E968" s="15">
        <v>147.87</v>
      </c>
      <c r="F968" s="22"/>
      <c r="H968" s="17" t="s">
        <v>892</v>
      </c>
      <c r="N968" s="7"/>
      <c r="O968" s="7"/>
    </row>
    <row r="969">
      <c r="A969" s="9" t="s">
        <v>9</v>
      </c>
      <c r="B969" s="21">
        <v>46210.0</v>
      </c>
      <c r="C969" s="9" t="s">
        <v>706</v>
      </c>
      <c r="D969" s="9" t="s">
        <v>453</v>
      </c>
      <c r="E969" s="15">
        <v>115.33</v>
      </c>
      <c r="F969" s="22"/>
      <c r="H969" s="17" t="s">
        <v>436</v>
      </c>
      <c r="N969" s="7"/>
      <c r="O969" s="7"/>
    </row>
    <row r="970">
      <c r="A970" s="9" t="s">
        <v>9</v>
      </c>
      <c r="B970" s="21">
        <v>46211.0</v>
      </c>
      <c r="C970" s="9" t="s">
        <v>706</v>
      </c>
      <c r="D970" s="9" t="s">
        <v>893</v>
      </c>
      <c r="E970" s="15">
        <v>121.33</v>
      </c>
      <c r="F970" s="22"/>
      <c r="H970" s="17" t="s">
        <v>168</v>
      </c>
      <c r="N970" s="7"/>
      <c r="O970" s="7"/>
    </row>
    <row r="971">
      <c r="A971" s="9" t="s">
        <v>9</v>
      </c>
      <c r="B971" s="21">
        <v>46211.0</v>
      </c>
      <c r="C971" s="9" t="s">
        <v>193</v>
      </c>
      <c r="D971" s="9" t="s">
        <v>461</v>
      </c>
      <c r="E971" s="15">
        <v>115.04</v>
      </c>
      <c r="F971" s="22"/>
      <c r="H971" s="17" t="s">
        <v>436</v>
      </c>
      <c r="N971" s="7"/>
      <c r="O971" s="7"/>
    </row>
    <row r="972">
      <c r="A972" s="9" t="s">
        <v>9</v>
      </c>
      <c r="B972" s="21">
        <v>46211.0</v>
      </c>
      <c r="C972" s="9" t="s">
        <v>197</v>
      </c>
      <c r="D972" s="9" t="s">
        <v>480</v>
      </c>
      <c r="E972" s="15">
        <v>122.0</v>
      </c>
      <c r="F972" s="22"/>
      <c r="H972" s="17" t="s">
        <v>664</v>
      </c>
      <c r="N972" s="7"/>
      <c r="O972" s="7"/>
    </row>
    <row r="973">
      <c r="A973" s="9" t="s">
        <v>9</v>
      </c>
      <c r="B973" s="21">
        <v>46211.0</v>
      </c>
      <c r="C973" s="9" t="s">
        <v>196</v>
      </c>
      <c r="D973" s="9" t="s">
        <v>484</v>
      </c>
      <c r="E973" s="15">
        <v>122.91</v>
      </c>
      <c r="F973" s="22"/>
      <c r="H973" s="17" t="s">
        <v>894</v>
      </c>
      <c r="N973" s="7"/>
      <c r="O973" s="7"/>
    </row>
    <row r="974">
      <c r="A974" s="9" t="s">
        <v>9</v>
      </c>
      <c r="B974" s="21">
        <v>46212.0</v>
      </c>
      <c r="C974" s="9" t="s">
        <v>197</v>
      </c>
      <c r="D974" s="9" t="s">
        <v>469</v>
      </c>
      <c r="E974" s="15">
        <v>106.0</v>
      </c>
      <c r="F974" s="22"/>
      <c r="H974" s="17" t="s">
        <v>436</v>
      </c>
      <c r="N974" s="7"/>
      <c r="O974" s="7"/>
    </row>
    <row r="975">
      <c r="A975" s="9" t="s">
        <v>9</v>
      </c>
      <c r="B975" s="21">
        <v>46212.0</v>
      </c>
      <c r="C975" s="9" t="s">
        <v>193</v>
      </c>
      <c r="D975" s="9" t="s">
        <v>895</v>
      </c>
      <c r="E975" s="15">
        <v>105.26</v>
      </c>
      <c r="F975" s="22"/>
      <c r="H975" s="17" t="s">
        <v>436</v>
      </c>
      <c r="N975" s="7"/>
      <c r="O975" s="7"/>
    </row>
    <row r="976">
      <c r="A976" s="9" t="s">
        <v>50</v>
      </c>
      <c r="B976" s="21">
        <v>46216.0</v>
      </c>
      <c r="C976" s="9" t="s">
        <v>196</v>
      </c>
      <c r="D976" s="9" t="s">
        <v>457</v>
      </c>
      <c r="E976" s="15">
        <v>125.03</v>
      </c>
      <c r="F976" s="22"/>
      <c r="H976" s="17" t="s">
        <v>664</v>
      </c>
      <c r="N976" s="7"/>
      <c r="O976" s="7"/>
    </row>
    <row r="977">
      <c r="A977" s="9" t="s">
        <v>50</v>
      </c>
      <c r="B977" s="21">
        <v>46216.0</v>
      </c>
      <c r="C977" s="9" t="s">
        <v>706</v>
      </c>
      <c r="D977" s="9" t="s">
        <v>893</v>
      </c>
      <c r="E977" s="15">
        <v>114.33</v>
      </c>
      <c r="F977" s="22"/>
      <c r="H977" s="17" t="s">
        <v>664</v>
      </c>
      <c r="N977" s="7"/>
      <c r="O977" s="7"/>
    </row>
    <row r="978">
      <c r="A978" s="9" t="s">
        <v>50</v>
      </c>
      <c r="B978" s="21">
        <v>46216.0</v>
      </c>
      <c r="C978" s="9" t="s">
        <v>190</v>
      </c>
      <c r="D978" s="9" t="s">
        <v>895</v>
      </c>
      <c r="E978" s="15">
        <v>122.0</v>
      </c>
      <c r="F978" s="22"/>
      <c r="H978" s="17" t="s">
        <v>896</v>
      </c>
      <c r="N978" s="7"/>
      <c r="O978" s="7"/>
    </row>
    <row r="979">
      <c r="A979" s="9" t="s">
        <v>50</v>
      </c>
      <c r="B979" s="21">
        <v>46216.0</v>
      </c>
      <c r="C979" s="9" t="s">
        <v>193</v>
      </c>
      <c r="D979" s="9" t="s">
        <v>453</v>
      </c>
      <c r="E979" s="15">
        <v>118.95</v>
      </c>
      <c r="F979" s="22"/>
      <c r="H979" s="17" t="s">
        <v>664</v>
      </c>
      <c r="N979" s="7"/>
      <c r="O979" s="7"/>
    </row>
    <row r="980">
      <c r="A980" s="9" t="s">
        <v>47</v>
      </c>
      <c r="B980" s="21">
        <v>46218.0</v>
      </c>
      <c r="C980" s="9" t="s">
        <v>196</v>
      </c>
      <c r="D980" s="9" t="s">
        <v>449</v>
      </c>
      <c r="E980" s="15">
        <v>115.08</v>
      </c>
      <c r="F980" s="22"/>
      <c r="H980" s="17" t="s">
        <v>436</v>
      </c>
      <c r="N980" s="7"/>
      <c r="O980" s="7"/>
    </row>
    <row r="981">
      <c r="A981" s="9" t="s">
        <v>47</v>
      </c>
      <c r="B981" s="21">
        <v>46218.0</v>
      </c>
      <c r="C981" s="9" t="s">
        <v>193</v>
      </c>
      <c r="D981" s="9" t="s">
        <v>469</v>
      </c>
      <c r="E981" s="15">
        <v>113.66</v>
      </c>
      <c r="F981" s="22"/>
      <c r="H981" s="17" t="s">
        <v>436</v>
      </c>
      <c r="N981" s="7"/>
      <c r="O981" s="7"/>
    </row>
    <row r="982">
      <c r="A982" s="9" t="s">
        <v>9</v>
      </c>
      <c r="B982" s="21">
        <v>46220.0</v>
      </c>
      <c r="C982" s="9" t="s">
        <v>706</v>
      </c>
      <c r="D982" s="9" t="s">
        <v>895</v>
      </c>
      <c r="E982" s="15">
        <v>106.35</v>
      </c>
      <c r="F982" s="22"/>
      <c r="H982" s="17" t="s">
        <v>664</v>
      </c>
      <c r="N982" s="7"/>
      <c r="O982" s="7"/>
    </row>
    <row r="983">
      <c r="A983" s="9" t="s">
        <v>9</v>
      </c>
      <c r="B983" s="21">
        <v>46220.0</v>
      </c>
      <c r="C983" s="9" t="s">
        <v>196</v>
      </c>
      <c r="D983" s="9" t="s">
        <v>457</v>
      </c>
      <c r="E983" s="15">
        <v>102.35</v>
      </c>
      <c r="F983" s="22"/>
      <c r="H983" s="17" t="s">
        <v>436</v>
      </c>
      <c r="N983" s="7"/>
      <c r="O983" s="7"/>
    </row>
    <row r="984">
      <c r="A984" s="9" t="s">
        <v>9</v>
      </c>
      <c r="B984" s="21">
        <v>46220.0</v>
      </c>
      <c r="C984" s="9" t="s">
        <v>197</v>
      </c>
      <c r="D984" s="9" t="s">
        <v>893</v>
      </c>
      <c r="E984" s="15">
        <v>101.69</v>
      </c>
      <c r="F984" s="22"/>
      <c r="H984" s="17" t="s">
        <v>168</v>
      </c>
      <c r="N984" s="7"/>
      <c r="O984" s="7"/>
    </row>
    <row r="985">
      <c r="A985" s="9" t="s">
        <v>9</v>
      </c>
      <c r="B985" s="21">
        <v>46220.0</v>
      </c>
      <c r="C985" s="9" t="s">
        <v>190</v>
      </c>
      <c r="D985" s="9" t="s">
        <v>480</v>
      </c>
      <c r="E985" s="15">
        <v>110.14</v>
      </c>
      <c r="F985" s="22"/>
      <c r="H985" s="17" t="s">
        <v>664</v>
      </c>
      <c r="N985" s="7"/>
      <c r="O985" s="7"/>
    </row>
    <row r="986">
      <c r="A986" s="9" t="s">
        <v>9</v>
      </c>
      <c r="B986" s="21">
        <v>46220.0</v>
      </c>
      <c r="C986" s="9" t="s">
        <v>193</v>
      </c>
      <c r="D986" s="9" t="s">
        <v>484</v>
      </c>
      <c r="E986" s="15">
        <v>101.56</v>
      </c>
      <c r="F986" s="22"/>
      <c r="H986" s="17" t="s">
        <v>168</v>
      </c>
      <c r="N986" s="7"/>
      <c r="O986" s="7"/>
    </row>
    <row r="987">
      <c r="A987" s="9" t="s">
        <v>9</v>
      </c>
      <c r="B987" s="21">
        <v>46223.0</v>
      </c>
      <c r="C987" s="9" t="s">
        <v>196</v>
      </c>
      <c r="D987" s="9" t="s">
        <v>469</v>
      </c>
      <c r="E987" s="15">
        <v>120.0</v>
      </c>
      <c r="F987" s="22"/>
      <c r="H987" s="17" t="s">
        <v>696</v>
      </c>
      <c r="N987" s="7"/>
      <c r="O987" s="7"/>
    </row>
    <row r="988">
      <c r="A988" s="9" t="s">
        <v>9</v>
      </c>
      <c r="B988" s="21">
        <v>46223.0</v>
      </c>
      <c r="C988" s="9" t="s">
        <v>194</v>
      </c>
      <c r="D988" s="9" t="s">
        <v>457</v>
      </c>
      <c r="E988" s="15">
        <v>35.9</v>
      </c>
      <c r="F988" s="22"/>
      <c r="H988" s="17" t="s">
        <v>673</v>
      </c>
      <c r="N988" s="7"/>
      <c r="O988" s="7"/>
    </row>
    <row r="989">
      <c r="A989" s="9" t="s">
        <v>9</v>
      </c>
      <c r="B989" s="21">
        <v>46223.0</v>
      </c>
      <c r="C989" s="9" t="s">
        <v>197</v>
      </c>
      <c r="D989" s="9" t="s">
        <v>895</v>
      </c>
      <c r="E989" s="15">
        <v>115.0</v>
      </c>
      <c r="F989" s="22"/>
      <c r="H989" s="17" t="s">
        <v>897</v>
      </c>
      <c r="N989" s="7"/>
      <c r="O989" s="7"/>
    </row>
    <row r="990">
      <c r="A990" s="9" t="s">
        <v>9</v>
      </c>
      <c r="B990" s="21">
        <v>46223.0</v>
      </c>
      <c r="C990" s="9" t="s">
        <v>193</v>
      </c>
      <c r="D990" s="9" t="s">
        <v>893</v>
      </c>
      <c r="E990" s="15">
        <v>125.87</v>
      </c>
      <c r="F990" s="22"/>
      <c r="H990" s="17" t="s">
        <v>436</v>
      </c>
      <c r="N990" s="7"/>
      <c r="O990" s="7"/>
    </row>
    <row r="991">
      <c r="A991" s="9" t="s">
        <v>50</v>
      </c>
      <c r="B991" s="21">
        <v>46225.0</v>
      </c>
      <c r="C991" s="9" t="s">
        <v>193</v>
      </c>
      <c r="D991" s="9" t="s">
        <v>453</v>
      </c>
      <c r="E991" s="15">
        <v>116.0</v>
      </c>
      <c r="F991" s="22"/>
      <c r="H991" s="17" t="s">
        <v>436</v>
      </c>
      <c r="N991" s="7"/>
      <c r="O991" s="7"/>
    </row>
    <row r="992">
      <c r="A992" s="9" t="s">
        <v>50</v>
      </c>
      <c r="B992" s="21">
        <v>46225.0</v>
      </c>
      <c r="C992" s="9" t="s">
        <v>197</v>
      </c>
      <c r="D992" s="9" t="s">
        <v>447</v>
      </c>
      <c r="E992" s="15">
        <v>115.5</v>
      </c>
      <c r="F992" s="22"/>
      <c r="H992" s="17" t="s">
        <v>696</v>
      </c>
      <c r="N992" s="7"/>
      <c r="O992" s="7"/>
    </row>
    <row r="993">
      <c r="A993" s="9" t="s">
        <v>50</v>
      </c>
      <c r="B993" s="21">
        <v>46226.0</v>
      </c>
      <c r="C993" s="9" t="s">
        <v>706</v>
      </c>
      <c r="D993" s="9" t="s">
        <v>893</v>
      </c>
      <c r="E993" s="15">
        <v>120.3</v>
      </c>
      <c r="F993" s="22"/>
      <c r="H993" s="17" t="s">
        <v>436</v>
      </c>
      <c r="N993" s="7"/>
      <c r="O993" s="7"/>
    </row>
    <row r="994">
      <c r="A994" s="9" t="s">
        <v>50</v>
      </c>
      <c r="B994" s="21">
        <v>46226.0</v>
      </c>
      <c r="C994" s="9" t="s">
        <v>193</v>
      </c>
      <c r="D994" s="9" t="s">
        <v>484</v>
      </c>
      <c r="E994" s="15">
        <v>121.0</v>
      </c>
      <c r="F994" s="22"/>
      <c r="H994" s="17" t="s">
        <v>436</v>
      </c>
      <c r="N994" s="7"/>
      <c r="O994" s="7"/>
    </row>
    <row r="995">
      <c r="A995" s="9" t="s">
        <v>50</v>
      </c>
      <c r="B995" s="21">
        <v>46226.0</v>
      </c>
      <c r="C995" s="9" t="s">
        <v>196</v>
      </c>
      <c r="D995" s="9" t="s">
        <v>457</v>
      </c>
      <c r="E995" s="15">
        <v>115.6</v>
      </c>
      <c r="F995" s="22"/>
      <c r="H995" s="17" t="s">
        <v>436</v>
      </c>
      <c r="N995" s="7"/>
      <c r="O995" s="7"/>
    </row>
    <row r="996">
      <c r="A996" s="9" t="s">
        <v>9</v>
      </c>
      <c r="B996" s="21">
        <v>46227.0</v>
      </c>
      <c r="C996" s="9" t="s">
        <v>196</v>
      </c>
      <c r="D996" s="9" t="s">
        <v>895</v>
      </c>
      <c r="E996" s="15">
        <v>148.24</v>
      </c>
      <c r="F996" s="22"/>
      <c r="H996" s="17" t="s">
        <v>898</v>
      </c>
      <c r="N996" s="7"/>
      <c r="O996" s="7"/>
    </row>
    <row r="997">
      <c r="A997" s="9" t="s">
        <v>9</v>
      </c>
      <c r="B997" s="21">
        <v>46227.0</v>
      </c>
      <c r="C997" s="9" t="s">
        <v>197</v>
      </c>
      <c r="D997" s="9" t="s">
        <v>893</v>
      </c>
      <c r="E997" s="15">
        <v>120.88</v>
      </c>
      <c r="F997" s="22"/>
      <c r="H997" s="17" t="s">
        <v>436</v>
      </c>
      <c r="N997" s="7"/>
      <c r="O997" s="7"/>
    </row>
    <row r="998">
      <c r="A998" s="9" t="s">
        <v>9</v>
      </c>
      <c r="B998" s="21">
        <v>46227.0</v>
      </c>
      <c r="C998" s="9" t="s">
        <v>193</v>
      </c>
      <c r="D998" s="9" t="s">
        <v>457</v>
      </c>
      <c r="E998" s="15">
        <v>101.22</v>
      </c>
      <c r="F998" s="22"/>
      <c r="H998" s="17" t="s">
        <v>696</v>
      </c>
      <c r="N998" s="7"/>
      <c r="O998" s="7"/>
    </row>
    <row r="999">
      <c r="A999" s="9" t="s">
        <v>50</v>
      </c>
      <c r="B999" s="21">
        <v>46230.0</v>
      </c>
      <c r="C999" s="9" t="s">
        <v>197</v>
      </c>
      <c r="D999" s="9" t="s">
        <v>457</v>
      </c>
      <c r="E999" s="15">
        <v>125.3</v>
      </c>
      <c r="F999" s="22"/>
      <c r="H999" s="17" t="s">
        <v>436</v>
      </c>
      <c r="N999" s="7"/>
      <c r="O999" s="7"/>
    </row>
    <row r="1000">
      <c r="A1000" s="9" t="s">
        <v>50</v>
      </c>
      <c r="B1000" s="21">
        <v>46230.0</v>
      </c>
      <c r="C1000" s="9" t="s">
        <v>196</v>
      </c>
      <c r="D1000" s="9" t="s">
        <v>480</v>
      </c>
      <c r="E1000" s="15">
        <v>120.55</v>
      </c>
      <c r="F1000" s="22"/>
      <c r="H1000" s="17" t="s">
        <v>436</v>
      </c>
      <c r="N1000" s="7"/>
      <c r="O1000" s="7"/>
    </row>
    <row r="1001">
      <c r="A1001" s="9" t="s">
        <v>50</v>
      </c>
      <c r="B1001" s="21">
        <v>46230.0</v>
      </c>
      <c r="C1001" s="9" t="s">
        <v>193</v>
      </c>
      <c r="D1001" s="9" t="s">
        <v>893</v>
      </c>
      <c r="E1001" s="15">
        <v>109.15</v>
      </c>
      <c r="F1001" s="22"/>
      <c r="H1001" s="17" t="s">
        <v>696</v>
      </c>
      <c r="N1001" s="7"/>
      <c r="O1001" s="7"/>
    </row>
    <row r="1002">
      <c r="A1002" s="9" t="s">
        <v>9</v>
      </c>
      <c r="B1002" s="21">
        <v>46232.0</v>
      </c>
      <c r="C1002" s="9" t="s">
        <v>706</v>
      </c>
      <c r="D1002" s="9" t="s">
        <v>895</v>
      </c>
      <c r="E1002" s="15">
        <v>120.58</v>
      </c>
      <c r="F1002" s="22"/>
      <c r="H1002" s="17" t="s">
        <v>899</v>
      </c>
      <c r="N1002" s="7"/>
      <c r="O1002" s="7"/>
    </row>
    <row r="1003">
      <c r="A1003" s="9" t="s">
        <v>9</v>
      </c>
      <c r="B1003" s="21">
        <v>46232.0</v>
      </c>
      <c r="C1003" s="9" t="s">
        <v>193</v>
      </c>
      <c r="D1003" s="9" t="s">
        <v>449</v>
      </c>
      <c r="E1003" s="15">
        <v>118.63</v>
      </c>
      <c r="F1003" s="22"/>
      <c r="H1003" s="17" t="s">
        <v>436</v>
      </c>
      <c r="N1003" s="7"/>
      <c r="O1003" s="7"/>
    </row>
    <row r="1004">
      <c r="A1004" s="9" t="s">
        <v>9</v>
      </c>
      <c r="B1004" s="21">
        <v>46232.0</v>
      </c>
      <c r="C1004" s="9" t="s">
        <v>196</v>
      </c>
      <c r="D1004" s="9" t="s">
        <v>469</v>
      </c>
      <c r="E1004" s="15">
        <v>100.0</v>
      </c>
      <c r="F1004" s="22"/>
      <c r="H1004" s="17" t="s">
        <v>436</v>
      </c>
      <c r="N1004" s="7"/>
      <c r="O1004" s="7"/>
    </row>
    <row r="1005">
      <c r="A1005" s="9" t="s">
        <v>9</v>
      </c>
      <c r="B1005" s="21">
        <v>46234.0</v>
      </c>
      <c r="C1005" s="9" t="s">
        <v>196</v>
      </c>
      <c r="D1005" s="9" t="s">
        <v>457</v>
      </c>
      <c r="E1005" s="15">
        <v>123.09</v>
      </c>
      <c r="F1005" s="22"/>
      <c r="H1005" s="17" t="s">
        <v>664</v>
      </c>
      <c r="N1005" s="7"/>
      <c r="O1005" s="7"/>
    </row>
    <row r="1006">
      <c r="A1006" s="9" t="s">
        <v>9</v>
      </c>
      <c r="B1006" s="21">
        <v>46234.0</v>
      </c>
      <c r="C1006" s="9" t="s">
        <v>197</v>
      </c>
      <c r="D1006" s="9" t="s">
        <v>895</v>
      </c>
      <c r="E1006" s="15">
        <v>129.35</v>
      </c>
      <c r="F1006" s="22"/>
      <c r="H1006" s="17" t="s">
        <v>664</v>
      </c>
      <c r="N1006" s="7"/>
      <c r="O1006" s="7"/>
    </row>
    <row r="1007">
      <c r="A1007" s="9" t="s">
        <v>9</v>
      </c>
      <c r="B1007" s="21">
        <v>46234.0</v>
      </c>
      <c r="C1007" s="9" t="s">
        <v>193</v>
      </c>
      <c r="D1007" s="9" t="s">
        <v>893</v>
      </c>
      <c r="E1007" s="15">
        <v>130.0</v>
      </c>
      <c r="F1007" s="22"/>
      <c r="H1007" s="17" t="s">
        <v>436</v>
      </c>
      <c r="N1007" s="7"/>
      <c r="O1007" s="7"/>
    </row>
    <row r="1008">
      <c r="A1008" s="9" t="s">
        <v>9</v>
      </c>
      <c r="B1008" s="21">
        <v>46237.0</v>
      </c>
      <c r="C1008" s="9" t="s">
        <v>193</v>
      </c>
      <c r="D1008" s="9" t="s">
        <v>893</v>
      </c>
      <c r="E1008" s="15">
        <v>95.0</v>
      </c>
      <c r="F1008" s="22"/>
      <c r="H1008" s="17" t="s">
        <v>900</v>
      </c>
      <c r="N1008" s="7"/>
      <c r="O1008" s="7"/>
    </row>
    <row r="1009">
      <c r="A1009" s="9" t="s">
        <v>9</v>
      </c>
      <c r="B1009" s="21">
        <v>46237.0</v>
      </c>
      <c r="C1009" s="9" t="s">
        <v>196</v>
      </c>
      <c r="D1009" s="9" t="s">
        <v>901</v>
      </c>
      <c r="E1009" s="15">
        <v>80.0</v>
      </c>
      <c r="F1009" s="22"/>
      <c r="H1009" s="17" t="s">
        <v>133</v>
      </c>
      <c r="N1009" s="7"/>
      <c r="O1009" s="7"/>
    </row>
    <row r="1010">
      <c r="A1010" s="9" t="s">
        <v>9</v>
      </c>
      <c r="B1010" s="21">
        <v>46237.0</v>
      </c>
      <c r="C1010" s="9" t="s">
        <v>706</v>
      </c>
      <c r="D1010" s="9" t="s">
        <v>895</v>
      </c>
      <c r="E1010" s="15">
        <v>80.0</v>
      </c>
      <c r="F1010" s="22"/>
      <c r="H1010" s="17" t="s">
        <v>133</v>
      </c>
      <c r="N1010" s="7"/>
      <c r="O1010" s="7"/>
    </row>
    <row r="1011">
      <c r="A1011" s="9" t="s">
        <v>47</v>
      </c>
      <c r="B1011" s="21">
        <v>46239.0</v>
      </c>
      <c r="C1011" s="9" t="s">
        <v>193</v>
      </c>
      <c r="D1011" s="9" t="s">
        <v>457</v>
      </c>
      <c r="E1011" s="15">
        <v>101.0</v>
      </c>
      <c r="F1011" s="22"/>
      <c r="H1011" s="17" t="s">
        <v>902</v>
      </c>
      <c r="N1011" s="7"/>
      <c r="O1011" s="7"/>
    </row>
    <row r="1012">
      <c r="A1012" s="9" t="s">
        <v>47</v>
      </c>
      <c r="B1012" s="21">
        <v>46239.0</v>
      </c>
      <c r="C1012" s="9" t="s">
        <v>196</v>
      </c>
      <c r="D1012" s="9" t="s">
        <v>903</v>
      </c>
      <c r="E1012" s="15">
        <v>103.0</v>
      </c>
      <c r="F1012" s="22"/>
      <c r="H1012" s="17" t="s">
        <v>904</v>
      </c>
      <c r="N1012" s="7"/>
      <c r="O1012" s="7"/>
    </row>
    <row r="1013">
      <c r="A1013" s="9" t="s">
        <v>47</v>
      </c>
      <c r="B1013" s="21">
        <v>46239.0</v>
      </c>
      <c r="C1013" s="9" t="s">
        <v>197</v>
      </c>
      <c r="D1013" s="9" t="s">
        <v>901</v>
      </c>
      <c r="E1013" s="15">
        <v>67.0</v>
      </c>
      <c r="F1013" s="22"/>
      <c r="H1013" s="17" t="s">
        <v>696</v>
      </c>
      <c r="N1013" s="7"/>
      <c r="O1013" s="7"/>
    </row>
    <row r="1014">
      <c r="A1014" s="9" t="s">
        <v>701</v>
      </c>
      <c r="B1014" s="21">
        <v>46241.0</v>
      </c>
      <c r="C1014" s="9" t="s">
        <v>196</v>
      </c>
      <c r="D1014" s="9" t="s">
        <v>469</v>
      </c>
      <c r="E1014" s="15">
        <v>100.0</v>
      </c>
      <c r="F1014" s="22"/>
      <c r="H1014" s="17" t="s">
        <v>696</v>
      </c>
      <c r="N1014" s="7"/>
      <c r="O1014" s="7"/>
    </row>
    <row r="1015">
      <c r="A1015" s="9" t="s">
        <v>701</v>
      </c>
      <c r="B1015" s="21">
        <v>46241.0</v>
      </c>
      <c r="C1015" s="9" t="s">
        <v>190</v>
      </c>
      <c r="D1015" s="9" t="s">
        <v>449</v>
      </c>
      <c r="E1015" s="15">
        <v>55.0</v>
      </c>
      <c r="F1015" s="22"/>
      <c r="H1015" s="17" t="s">
        <v>436</v>
      </c>
      <c r="N1015" s="7"/>
      <c r="O1015" s="7"/>
    </row>
    <row r="1016">
      <c r="A1016" s="9" t="s">
        <v>701</v>
      </c>
      <c r="B1016" s="21">
        <v>46241.0</v>
      </c>
      <c r="C1016" s="9" t="s">
        <v>197</v>
      </c>
      <c r="D1016" s="9" t="s">
        <v>484</v>
      </c>
      <c r="E1016" s="15">
        <v>100.0</v>
      </c>
      <c r="F1016" s="22"/>
      <c r="H1016" s="17" t="s">
        <v>696</v>
      </c>
      <c r="N1016" s="7"/>
      <c r="O1016" s="7"/>
    </row>
    <row r="1017">
      <c r="A1017" s="9" t="s">
        <v>701</v>
      </c>
      <c r="B1017" s="21">
        <v>46241.0</v>
      </c>
      <c r="C1017" s="9" t="s">
        <v>193</v>
      </c>
      <c r="D1017" s="9" t="s">
        <v>895</v>
      </c>
      <c r="E1017" s="15">
        <v>122.0</v>
      </c>
      <c r="F1017" s="22"/>
      <c r="H1017" s="17" t="s">
        <v>664</v>
      </c>
      <c r="N1017" s="7"/>
      <c r="O1017" s="7"/>
    </row>
    <row r="1018">
      <c r="A1018" s="9" t="s">
        <v>9</v>
      </c>
      <c r="B1018" s="21">
        <v>46244.0</v>
      </c>
      <c r="C1018" s="9" t="s">
        <v>197</v>
      </c>
      <c r="D1018" s="9" t="s">
        <v>903</v>
      </c>
      <c r="E1018" s="15">
        <v>102.0</v>
      </c>
      <c r="F1018" s="22"/>
      <c r="H1018" s="17" t="s">
        <v>905</v>
      </c>
      <c r="N1018" s="7"/>
      <c r="O1018" s="7"/>
    </row>
    <row r="1019">
      <c r="A1019" s="9" t="s">
        <v>9</v>
      </c>
      <c r="B1019" s="21">
        <v>46244.0</v>
      </c>
      <c r="C1019" s="9" t="s">
        <v>190</v>
      </c>
      <c r="D1019" s="9" t="s">
        <v>901</v>
      </c>
      <c r="E1019" s="15">
        <v>116.0</v>
      </c>
      <c r="F1019" s="22"/>
      <c r="H1019" s="17" t="s">
        <v>906</v>
      </c>
      <c r="N1019" s="7"/>
      <c r="O1019" s="7"/>
    </row>
    <row r="1020">
      <c r="A1020" s="9" t="s">
        <v>9</v>
      </c>
      <c r="B1020" s="21">
        <v>46244.0</v>
      </c>
      <c r="C1020" s="9" t="s">
        <v>196</v>
      </c>
      <c r="D1020" s="9" t="s">
        <v>895</v>
      </c>
      <c r="E1020" s="15">
        <v>120.0</v>
      </c>
      <c r="F1020" s="22"/>
      <c r="H1020" s="17" t="s">
        <v>696</v>
      </c>
      <c r="N1020" s="7"/>
      <c r="O1020" s="7"/>
    </row>
    <row r="1021">
      <c r="A1021" s="9" t="s">
        <v>9</v>
      </c>
      <c r="B1021" s="21">
        <v>46244.0</v>
      </c>
      <c r="C1021" s="9" t="s">
        <v>193</v>
      </c>
      <c r="D1021" s="9" t="s">
        <v>457</v>
      </c>
      <c r="E1021" s="15">
        <v>123.0</v>
      </c>
      <c r="F1021" s="22"/>
      <c r="H1021" s="17" t="s">
        <v>907</v>
      </c>
      <c r="N1021" s="7"/>
      <c r="O1021" s="7"/>
    </row>
    <row r="1022">
      <c r="A1022" s="9" t="s">
        <v>47</v>
      </c>
      <c r="B1022" s="21">
        <v>46246.0</v>
      </c>
      <c r="C1022" s="9" t="s">
        <v>193</v>
      </c>
      <c r="D1022" s="9" t="s">
        <v>901</v>
      </c>
      <c r="E1022" s="15">
        <v>103.0</v>
      </c>
      <c r="F1022" s="22"/>
      <c r="H1022" s="17" t="s">
        <v>908</v>
      </c>
      <c r="N1022" s="7"/>
      <c r="O1022" s="7"/>
    </row>
    <row r="1023">
      <c r="A1023" s="9" t="s">
        <v>47</v>
      </c>
      <c r="B1023" s="21">
        <v>46246.0</v>
      </c>
      <c r="C1023" s="9" t="s">
        <v>196</v>
      </c>
      <c r="D1023" s="9" t="s">
        <v>457</v>
      </c>
      <c r="E1023" s="15">
        <v>99.0</v>
      </c>
      <c r="F1023" s="22"/>
      <c r="H1023" s="17" t="s">
        <v>436</v>
      </c>
      <c r="N1023" s="7"/>
      <c r="O1023" s="7"/>
    </row>
    <row r="1024">
      <c r="A1024" s="9" t="s">
        <v>47</v>
      </c>
      <c r="B1024" s="21">
        <v>46246.0</v>
      </c>
      <c r="C1024" s="9" t="s">
        <v>197</v>
      </c>
      <c r="D1024" s="9" t="s">
        <v>903</v>
      </c>
      <c r="E1024" s="15">
        <v>94.0</v>
      </c>
      <c r="F1024" s="22"/>
      <c r="H1024" s="17" t="s">
        <v>696</v>
      </c>
      <c r="N1024" s="7"/>
      <c r="O1024" s="7"/>
    </row>
    <row r="1025">
      <c r="A1025" s="9" t="s">
        <v>9</v>
      </c>
      <c r="B1025" s="21">
        <v>46248.0</v>
      </c>
      <c r="C1025" s="9" t="s">
        <v>193</v>
      </c>
      <c r="D1025" s="9" t="s">
        <v>903</v>
      </c>
      <c r="E1025" s="15">
        <v>115.0</v>
      </c>
      <c r="F1025" s="22"/>
      <c r="H1025" s="17" t="s">
        <v>664</v>
      </c>
      <c r="N1025" s="7"/>
      <c r="O1025" s="7"/>
    </row>
    <row r="1026">
      <c r="A1026" s="9" t="s">
        <v>9</v>
      </c>
      <c r="B1026" s="21">
        <v>46248.0</v>
      </c>
      <c r="C1026" s="9" t="s">
        <v>190</v>
      </c>
      <c r="D1026" s="9" t="s">
        <v>893</v>
      </c>
      <c r="E1026" s="15">
        <v>87.0</v>
      </c>
      <c r="F1026" s="22"/>
      <c r="H1026" s="17" t="s">
        <v>133</v>
      </c>
      <c r="N1026" s="7"/>
      <c r="O1026" s="7"/>
    </row>
    <row r="1027">
      <c r="A1027" s="9" t="s">
        <v>715</v>
      </c>
      <c r="B1027" s="21">
        <v>46248.0</v>
      </c>
      <c r="C1027" s="9" t="s">
        <v>196</v>
      </c>
      <c r="D1027" s="9" t="s">
        <v>895</v>
      </c>
      <c r="E1027" s="15">
        <v>83.0</v>
      </c>
      <c r="F1027" s="22"/>
      <c r="H1027" s="17" t="s">
        <v>133</v>
      </c>
      <c r="N1027" s="7"/>
      <c r="O1027" s="7"/>
    </row>
    <row r="1028">
      <c r="A1028" s="9" t="s">
        <v>715</v>
      </c>
      <c r="B1028" s="21">
        <v>46248.0</v>
      </c>
      <c r="C1028" s="9" t="s">
        <v>197</v>
      </c>
      <c r="D1028" s="9" t="s">
        <v>901</v>
      </c>
      <c r="E1028" s="15">
        <v>109.0</v>
      </c>
      <c r="F1028" s="22"/>
      <c r="H1028" s="17" t="s">
        <v>909</v>
      </c>
      <c r="N1028" s="7"/>
      <c r="O1028" s="7"/>
    </row>
    <row r="1029">
      <c r="E1029" s="107"/>
      <c r="F1029" s="22"/>
      <c r="H1029" s="20"/>
      <c r="N1029" s="7"/>
      <c r="O1029" s="7"/>
    </row>
    <row r="1030">
      <c r="E1030" s="107"/>
      <c r="F1030" s="22"/>
      <c r="H1030" s="20"/>
      <c r="N1030" s="7"/>
      <c r="O1030" s="7"/>
    </row>
    <row r="1031">
      <c r="E1031" s="107"/>
      <c r="F1031" s="22"/>
      <c r="H1031" s="20"/>
      <c r="N1031" s="7"/>
      <c r="O1031" s="7"/>
    </row>
    <row r="1032">
      <c r="E1032" s="107"/>
      <c r="F1032" s="22"/>
      <c r="H1032" s="20"/>
      <c r="N1032" s="7"/>
      <c r="O1032" s="7"/>
    </row>
    <row r="1033">
      <c r="E1033" s="107"/>
      <c r="F1033" s="22"/>
      <c r="H1033" s="20"/>
      <c r="N1033" s="7"/>
      <c r="O1033" s="7"/>
    </row>
    <row r="1034">
      <c r="E1034" s="107"/>
      <c r="F1034" s="22"/>
      <c r="H1034" s="20"/>
      <c r="N1034" s="7"/>
      <c r="O1034" s="7"/>
    </row>
    <row r="1035">
      <c r="E1035" s="107"/>
      <c r="F1035" s="22"/>
      <c r="H1035" s="20"/>
      <c r="N1035" s="7"/>
      <c r="O1035" s="7"/>
    </row>
    <row r="1036">
      <c r="E1036" s="107"/>
      <c r="F1036" s="22"/>
      <c r="H1036" s="20"/>
      <c r="N1036" s="7"/>
      <c r="O1036" s="7"/>
    </row>
    <row r="1037">
      <c r="E1037" s="107"/>
      <c r="F1037" s="22"/>
      <c r="H1037" s="20"/>
      <c r="N1037" s="7"/>
      <c r="O1037" s="7"/>
    </row>
    <row r="1038">
      <c r="E1038" s="107"/>
      <c r="F1038" s="22"/>
      <c r="H1038" s="20"/>
      <c r="N1038" s="7"/>
      <c r="O1038" s="7"/>
    </row>
    <row r="1039">
      <c r="E1039" s="107"/>
      <c r="F1039" s="22"/>
      <c r="H1039" s="20"/>
      <c r="N1039" s="7"/>
      <c r="O1039" s="7"/>
    </row>
    <row r="1040">
      <c r="E1040" s="107"/>
      <c r="F1040" s="22"/>
      <c r="H1040" s="20"/>
      <c r="N1040" s="7"/>
      <c r="O1040" s="7"/>
    </row>
    <row r="1041">
      <c r="E1041" s="107"/>
      <c r="F1041" s="22"/>
      <c r="H1041" s="20"/>
      <c r="N1041" s="7"/>
      <c r="O1041" s="7"/>
    </row>
    <row r="1042">
      <c r="E1042" s="107"/>
      <c r="F1042" s="22"/>
      <c r="H1042" s="20"/>
      <c r="N1042" s="7"/>
      <c r="O1042" s="7"/>
    </row>
    <row r="1043">
      <c r="E1043" s="107"/>
      <c r="F1043" s="22"/>
      <c r="H1043" s="20"/>
      <c r="N1043" s="7"/>
      <c r="O1043" s="7"/>
    </row>
    <row r="1044">
      <c r="E1044" s="107"/>
      <c r="F1044" s="22"/>
      <c r="H1044" s="20"/>
      <c r="N1044" s="7"/>
      <c r="O1044" s="7"/>
    </row>
    <row r="1045">
      <c r="E1045" s="107"/>
      <c r="F1045" s="22"/>
      <c r="H1045" s="20"/>
      <c r="N1045" s="7"/>
      <c r="O1045" s="7"/>
    </row>
    <row r="1046">
      <c r="E1046" s="107"/>
      <c r="F1046" s="22"/>
      <c r="H1046" s="20"/>
      <c r="N1046" s="7"/>
      <c r="O1046" s="7"/>
    </row>
    <row r="1047">
      <c r="E1047" s="107"/>
      <c r="F1047" s="22"/>
      <c r="H1047" s="20"/>
      <c r="N1047" s="7"/>
      <c r="O1047" s="7"/>
    </row>
    <row r="1048">
      <c r="E1048" s="107"/>
      <c r="F1048" s="22"/>
      <c r="H1048" s="20"/>
      <c r="N1048" s="7"/>
      <c r="O1048" s="7"/>
    </row>
    <row r="1049">
      <c r="E1049" s="107"/>
      <c r="F1049" s="22"/>
      <c r="H1049" s="20"/>
      <c r="N1049" s="7"/>
      <c r="O1049" s="7"/>
    </row>
    <row r="1050">
      <c r="E1050" s="107"/>
      <c r="F1050" s="22"/>
      <c r="H1050" s="20"/>
      <c r="N1050" s="7"/>
      <c r="O1050" s="7"/>
    </row>
  </sheetData>
  <autoFilter ref="$A$1:$L$1050"/>
  <mergeCells count="492">
    <mergeCell ref="I363:L363"/>
    <mergeCell ref="I364:L364"/>
    <mergeCell ref="I365:L365"/>
    <mergeCell ref="I366:L366"/>
    <mergeCell ref="I367:L367"/>
    <mergeCell ref="I368:L368"/>
    <mergeCell ref="I369:L369"/>
    <mergeCell ref="I370:L370"/>
    <mergeCell ref="I371:L371"/>
    <mergeCell ref="I372:L372"/>
    <mergeCell ref="I373:L373"/>
    <mergeCell ref="I374:L374"/>
    <mergeCell ref="I375:L375"/>
    <mergeCell ref="I376:L376"/>
    <mergeCell ref="I377:L377"/>
    <mergeCell ref="I378:L378"/>
    <mergeCell ref="I379:L379"/>
    <mergeCell ref="I380:L380"/>
    <mergeCell ref="I381:L381"/>
    <mergeCell ref="I382:L382"/>
    <mergeCell ref="I383:L383"/>
    <mergeCell ref="I384:L384"/>
    <mergeCell ref="I385:L385"/>
    <mergeCell ref="I386:L386"/>
    <mergeCell ref="I387:L387"/>
    <mergeCell ref="I388:L388"/>
    <mergeCell ref="I389:L389"/>
    <mergeCell ref="I390:L390"/>
    <mergeCell ref="I391:L391"/>
    <mergeCell ref="I392:L392"/>
    <mergeCell ref="I393:L393"/>
    <mergeCell ref="I394:L394"/>
    <mergeCell ref="I395:L395"/>
    <mergeCell ref="I396:L396"/>
    <mergeCell ref="I397:L397"/>
    <mergeCell ref="I398:L398"/>
    <mergeCell ref="I399:L399"/>
    <mergeCell ref="I400:L400"/>
    <mergeCell ref="I401:L401"/>
    <mergeCell ref="I402:L402"/>
    <mergeCell ref="I403:L403"/>
    <mergeCell ref="I404:L404"/>
    <mergeCell ref="I405:L405"/>
    <mergeCell ref="I406:L406"/>
    <mergeCell ref="I407:L407"/>
    <mergeCell ref="I408:L408"/>
    <mergeCell ref="I409:L409"/>
    <mergeCell ref="I410:L410"/>
    <mergeCell ref="I411:L411"/>
    <mergeCell ref="I461:L461"/>
    <mergeCell ref="I462:L462"/>
    <mergeCell ref="I463:L463"/>
    <mergeCell ref="I464:L464"/>
    <mergeCell ref="I465:L465"/>
    <mergeCell ref="I466:L466"/>
    <mergeCell ref="I467:L467"/>
    <mergeCell ref="I468:L468"/>
    <mergeCell ref="I469:L469"/>
    <mergeCell ref="I470:L470"/>
    <mergeCell ref="I471:L471"/>
    <mergeCell ref="I472:L472"/>
    <mergeCell ref="I473:L473"/>
    <mergeCell ref="I474:L474"/>
    <mergeCell ref="I475:L475"/>
    <mergeCell ref="I476:L476"/>
    <mergeCell ref="I477:L477"/>
    <mergeCell ref="I478:L478"/>
    <mergeCell ref="I479:L479"/>
    <mergeCell ref="I480:L480"/>
    <mergeCell ref="I481:L481"/>
    <mergeCell ref="I482:L482"/>
    <mergeCell ref="I483:L483"/>
    <mergeCell ref="I484:L484"/>
    <mergeCell ref="I485:L485"/>
    <mergeCell ref="I486:L486"/>
    <mergeCell ref="I487:L487"/>
    <mergeCell ref="I488:L488"/>
    <mergeCell ref="I489:L489"/>
    <mergeCell ref="I490:L490"/>
    <mergeCell ref="I491:L491"/>
    <mergeCell ref="I492:L492"/>
    <mergeCell ref="I493:L493"/>
    <mergeCell ref="I494:L494"/>
    <mergeCell ref="I495:L495"/>
    <mergeCell ref="I496:L496"/>
    <mergeCell ref="I497:L497"/>
    <mergeCell ref="I498:L498"/>
    <mergeCell ref="I499:L499"/>
    <mergeCell ref="I500:L500"/>
    <mergeCell ref="I501:L501"/>
    <mergeCell ref="I502:L502"/>
    <mergeCell ref="I510:L510"/>
    <mergeCell ref="A649:H649"/>
    <mergeCell ref="I503:L503"/>
    <mergeCell ref="I504:L504"/>
    <mergeCell ref="I505:L505"/>
    <mergeCell ref="I506:L506"/>
    <mergeCell ref="I507:L507"/>
    <mergeCell ref="I508:L508"/>
    <mergeCell ref="I509:L509"/>
    <mergeCell ref="I412:L412"/>
    <mergeCell ref="I413:L413"/>
    <mergeCell ref="I414:L414"/>
    <mergeCell ref="I415:L415"/>
    <mergeCell ref="I416:L416"/>
    <mergeCell ref="I417:L417"/>
    <mergeCell ref="I418:L418"/>
    <mergeCell ref="I419:L419"/>
    <mergeCell ref="I420:L420"/>
    <mergeCell ref="I421:L421"/>
    <mergeCell ref="I422:L422"/>
    <mergeCell ref="I423:L423"/>
    <mergeCell ref="I424:L424"/>
    <mergeCell ref="I425:L425"/>
    <mergeCell ref="I426:L426"/>
    <mergeCell ref="I427:L427"/>
    <mergeCell ref="I428:L428"/>
    <mergeCell ref="I429:L429"/>
    <mergeCell ref="I430:L430"/>
    <mergeCell ref="I431:L431"/>
    <mergeCell ref="I432:L432"/>
    <mergeCell ref="I433:L433"/>
    <mergeCell ref="I434:L434"/>
    <mergeCell ref="I435:L435"/>
    <mergeCell ref="I436:L436"/>
    <mergeCell ref="I437:L437"/>
    <mergeCell ref="I438:L438"/>
    <mergeCell ref="I439:L439"/>
    <mergeCell ref="I440:L440"/>
    <mergeCell ref="I441:L441"/>
    <mergeCell ref="I442:L442"/>
    <mergeCell ref="I443:L443"/>
    <mergeCell ref="I444:L444"/>
    <mergeCell ref="I445:L445"/>
    <mergeCell ref="I446:L446"/>
    <mergeCell ref="I447:L447"/>
    <mergeCell ref="I448:L448"/>
    <mergeCell ref="I449:L449"/>
    <mergeCell ref="I450:L450"/>
    <mergeCell ref="I451:L451"/>
    <mergeCell ref="I452:L452"/>
    <mergeCell ref="I453:L453"/>
    <mergeCell ref="I454:L454"/>
    <mergeCell ref="I455:L455"/>
    <mergeCell ref="I456:L456"/>
    <mergeCell ref="I457:L457"/>
    <mergeCell ref="I458:L458"/>
    <mergeCell ref="I459:L459"/>
    <mergeCell ref="I460:L460"/>
    <mergeCell ref="I1:K1"/>
    <mergeCell ref="I2:K2"/>
    <mergeCell ref="I3:K3"/>
    <mergeCell ref="I4:K4"/>
    <mergeCell ref="I5:K5"/>
    <mergeCell ref="I6:K6"/>
    <mergeCell ref="I7:K7"/>
    <mergeCell ref="I8:K8"/>
    <mergeCell ref="I9:K9"/>
    <mergeCell ref="I10:K10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I109:K109"/>
    <mergeCell ref="I110:K110"/>
    <mergeCell ref="I111:K111"/>
    <mergeCell ref="I112:K112"/>
    <mergeCell ref="I113:K113"/>
    <mergeCell ref="I114:K114"/>
    <mergeCell ref="I115:K115"/>
    <mergeCell ref="I116:K116"/>
    <mergeCell ref="I117:K117"/>
    <mergeCell ref="I118:K118"/>
    <mergeCell ref="I119:K119"/>
    <mergeCell ref="I120:K120"/>
    <mergeCell ref="I121:K121"/>
    <mergeCell ref="I122:K122"/>
    <mergeCell ref="I123:K123"/>
    <mergeCell ref="I124:K124"/>
    <mergeCell ref="I125:K125"/>
    <mergeCell ref="I126:K126"/>
    <mergeCell ref="I127:K127"/>
    <mergeCell ref="I128:K128"/>
    <mergeCell ref="I129:K129"/>
    <mergeCell ref="I130:K130"/>
    <mergeCell ref="I131:K131"/>
    <mergeCell ref="I132:K132"/>
    <mergeCell ref="I133:K133"/>
    <mergeCell ref="I134:K134"/>
    <mergeCell ref="I135:K135"/>
    <mergeCell ref="I136:K136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K145"/>
    <mergeCell ref="I146:K146"/>
    <mergeCell ref="I147:K147"/>
    <mergeCell ref="I148:K148"/>
    <mergeCell ref="I149:K149"/>
    <mergeCell ref="I150:K150"/>
    <mergeCell ref="I151:K151"/>
    <mergeCell ref="I152:K152"/>
    <mergeCell ref="I153:K153"/>
    <mergeCell ref="I154:K154"/>
    <mergeCell ref="I155:K155"/>
    <mergeCell ref="I156:K156"/>
    <mergeCell ref="I157:K157"/>
    <mergeCell ref="I158:K158"/>
    <mergeCell ref="I159:K159"/>
    <mergeCell ref="I160:K160"/>
    <mergeCell ref="I161:K161"/>
    <mergeCell ref="I162:K162"/>
    <mergeCell ref="I163:K163"/>
    <mergeCell ref="I164:K164"/>
    <mergeCell ref="I165:K165"/>
    <mergeCell ref="I166:K166"/>
    <mergeCell ref="I167:K167"/>
    <mergeCell ref="I168:K168"/>
    <mergeCell ref="I169:K169"/>
    <mergeCell ref="I170:K170"/>
    <mergeCell ref="I171:K171"/>
    <mergeCell ref="I172:K172"/>
    <mergeCell ref="I173:K173"/>
    <mergeCell ref="I174:K174"/>
    <mergeCell ref="I175:K175"/>
    <mergeCell ref="I176:K176"/>
    <mergeCell ref="I177:K177"/>
    <mergeCell ref="I178:K178"/>
    <mergeCell ref="I179:K179"/>
    <mergeCell ref="I180:K180"/>
    <mergeCell ref="I181:K181"/>
    <mergeCell ref="I182:K182"/>
    <mergeCell ref="I183:K183"/>
    <mergeCell ref="I184:K184"/>
    <mergeCell ref="I185:K185"/>
    <mergeCell ref="I186:K186"/>
    <mergeCell ref="I187:K187"/>
    <mergeCell ref="I188:K188"/>
    <mergeCell ref="I189:K189"/>
    <mergeCell ref="I190:K190"/>
    <mergeCell ref="I191:K191"/>
    <mergeCell ref="I192:K192"/>
    <mergeCell ref="I193:K193"/>
    <mergeCell ref="I194:K194"/>
    <mergeCell ref="I195:K195"/>
    <mergeCell ref="I196:K196"/>
    <mergeCell ref="I197:K197"/>
    <mergeCell ref="I198:K198"/>
    <mergeCell ref="I199:K199"/>
    <mergeCell ref="I200:K200"/>
    <mergeCell ref="I201:K201"/>
    <mergeCell ref="I202:K202"/>
    <mergeCell ref="I203:K203"/>
    <mergeCell ref="I204:K204"/>
    <mergeCell ref="I205:K205"/>
    <mergeCell ref="I206:K206"/>
    <mergeCell ref="I207:K207"/>
    <mergeCell ref="I208:K208"/>
    <mergeCell ref="I209:K209"/>
    <mergeCell ref="I210:K210"/>
    <mergeCell ref="I211:K211"/>
    <mergeCell ref="I212:K212"/>
    <mergeCell ref="I213:K213"/>
    <mergeCell ref="I214:K214"/>
    <mergeCell ref="I215:K215"/>
    <mergeCell ref="I216:K216"/>
    <mergeCell ref="I217:K217"/>
    <mergeCell ref="I218:K218"/>
    <mergeCell ref="I219:K219"/>
    <mergeCell ref="I220:K220"/>
    <mergeCell ref="I221:K221"/>
    <mergeCell ref="I222:K222"/>
    <mergeCell ref="I223:K223"/>
    <mergeCell ref="I224:K224"/>
    <mergeCell ref="I225:K225"/>
    <mergeCell ref="I226:K226"/>
    <mergeCell ref="I227:K227"/>
    <mergeCell ref="I228:K228"/>
    <mergeCell ref="I229:K229"/>
    <mergeCell ref="I230:K230"/>
    <mergeCell ref="I231:K231"/>
    <mergeCell ref="I232:K232"/>
    <mergeCell ref="I233:K233"/>
    <mergeCell ref="I234:K234"/>
    <mergeCell ref="I235:K235"/>
    <mergeCell ref="I236:K236"/>
    <mergeCell ref="I237:K237"/>
    <mergeCell ref="I238:K238"/>
    <mergeCell ref="I239:K239"/>
    <mergeCell ref="I240:K240"/>
    <mergeCell ref="I241:K241"/>
    <mergeCell ref="I242:K242"/>
    <mergeCell ref="I243:K243"/>
    <mergeCell ref="I244:K244"/>
    <mergeCell ref="I245:K245"/>
    <mergeCell ref="I246:K246"/>
    <mergeCell ref="I247:K247"/>
    <mergeCell ref="I248:K248"/>
    <mergeCell ref="I249:K249"/>
    <mergeCell ref="I250:K250"/>
    <mergeCell ref="I251:K251"/>
    <mergeCell ref="I252:K252"/>
    <mergeCell ref="I253:K253"/>
    <mergeCell ref="I254:K254"/>
    <mergeCell ref="I255:K255"/>
    <mergeCell ref="I256:K256"/>
    <mergeCell ref="I257:K257"/>
    <mergeCell ref="I258:K258"/>
    <mergeCell ref="I259:K259"/>
    <mergeCell ref="I260:K260"/>
    <mergeCell ref="I261:K261"/>
    <mergeCell ref="I280:L280"/>
    <mergeCell ref="I281:L281"/>
    <mergeCell ref="I282:L282"/>
    <mergeCell ref="I283:L283"/>
    <mergeCell ref="I284:L284"/>
    <mergeCell ref="I285:L285"/>
    <mergeCell ref="I286:L286"/>
    <mergeCell ref="I287:L287"/>
    <mergeCell ref="I288:L288"/>
    <mergeCell ref="I289:L289"/>
    <mergeCell ref="I290:L290"/>
    <mergeCell ref="I291:L291"/>
    <mergeCell ref="I292:L292"/>
    <mergeCell ref="I293:L293"/>
    <mergeCell ref="I294:L294"/>
    <mergeCell ref="I295:L295"/>
    <mergeCell ref="I296:L296"/>
    <mergeCell ref="I297:L297"/>
    <mergeCell ref="I298:L298"/>
    <mergeCell ref="I299:L299"/>
    <mergeCell ref="I300:L300"/>
    <mergeCell ref="I301:L301"/>
    <mergeCell ref="I302:L302"/>
    <mergeCell ref="I303:L303"/>
    <mergeCell ref="I304:L304"/>
    <mergeCell ref="I305:L305"/>
    <mergeCell ref="I306:L306"/>
    <mergeCell ref="I307:L307"/>
    <mergeCell ref="I308:L308"/>
    <mergeCell ref="I309:L309"/>
    <mergeCell ref="I310:L310"/>
    <mergeCell ref="I311:L311"/>
    <mergeCell ref="I312:L312"/>
    <mergeCell ref="I313:L313"/>
    <mergeCell ref="I314:L314"/>
    <mergeCell ref="I315:L315"/>
    <mergeCell ref="I316:L316"/>
    <mergeCell ref="I317:L317"/>
    <mergeCell ref="I318:L318"/>
    <mergeCell ref="I319:L319"/>
    <mergeCell ref="I320:L320"/>
    <mergeCell ref="I321:L321"/>
    <mergeCell ref="I322:L322"/>
    <mergeCell ref="I323:L323"/>
    <mergeCell ref="I324:L324"/>
    <mergeCell ref="I325:L325"/>
    <mergeCell ref="I326:L326"/>
    <mergeCell ref="I327:L327"/>
    <mergeCell ref="I328:L328"/>
    <mergeCell ref="I329:L329"/>
    <mergeCell ref="I330:L330"/>
    <mergeCell ref="I331:L331"/>
    <mergeCell ref="I332:L332"/>
    <mergeCell ref="I333:L333"/>
    <mergeCell ref="I334:L334"/>
    <mergeCell ref="I335:L335"/>
    <mergeCell ref="I336:L336"/>
    <mergeCell ref="I337:L337"/>
    <mergeCell ref="I338:L338"/>
    <mergeCell ref="I339:L339"/>
    <mergeCell ref="I340:L340"/>
    <mergeCell ref="I341:L341"/>
    <mergeCell ref="I342:L342"/>
    <mergeCell ref="I343:L343"/>
    <mergeCell ref="I344:L344"/>
    <mergeCell ref="I345:L345"/>
    <mergeCell ref="I346:L346"/>
    <mergeCell ref="I347:L347"/>
    <mergeCell ref="I348:L348"/>
    <mergeCell ref="I349:L349"/>
    <mergeCell ref="I350:L350"/>
    <mergeCell ref="I351:L351"/>
    <mergeCell ref="I352:L352"/>
    <mergeCell ref="I353:L353"/>
    <mergeCell ref="I354:L354"/>
    <mergeCell ref="I355:L355"/>
    <mergeCell ref="I356:L356"/>
    <mergeCell ref="I357:L357"/>
    <mergeCell ref="I358:L358"/>
    <mergeCell ref="I359:L359"/>
    <mergeCell ref="I360:L360"/>
    <mergeCell ref="I361:L361"/>
    <mergeCell ref="I362:L362"/>
  </mergeCells>
  <dataValidations>
    <dataValidation type="list" allowBlank="1" showErrorMessage="1" sqref="D2:D10 G2:G10 D12:D27 D29:D44 G12:G522 G524:G636">
      <formula1>"1A,1B,1C,1D,2A,2B,2C,2D,3A,3B,3C,4A,4B,4C,1,2,3,4,Cx 1,Cx 2,Cx 3,Cx 4,Cx 5,Cx 6,Cx 7,Cx 8,Cx 9,Cx 10,Cx 11,Cx 12,Cx 13,Cx 14,Cx 15,Cx 16,Cx 17,Cx 18"</formula1>
    </dataValidation>
    <dataValidation type="list" allowBlank="1" showErrorMessage="1" sqref="D28">
      <formula1>"1A,1B,1C,1D,2A,2B,2C,2D"</formula1>
    </dataValidation>
    <dataValidation type="list" allowBlank="1" showErrorMessage="1" sqref="D80:D648 D650:D1028">
      <formula1>"1A,1B,2A,2B,2C,3A,3B,4A,4B,4C,1,2,3,4,Cx 1,CX 2,CX 3,CX 4,CX 5,CX 6,CX 7,CX 8,CX 9,CX 10,CX 11,CX 12,CX 13,CX 14,CX 15,CX 16,CX 17,CX 18,CX 19,CX 20,1C,1D,CX 21,CX 22,CX 23,CX 24,CX 25,CX 26,CX 27,CX 28,CX 29,CX 30"</formula1>
    </dataValidation>
    <dataValidation type="list" allowBlank="1" showErrorMessage="1" sqref="A2:A10 A12:A648 A650:A1028">
      <formula1>"Karol,Evaldo,André,Abul,Rani,Mayra,Wilson,Lucimar,Ana Karla,Kaciane,Jamille"</formula1>
    </dataValidation>
    <dataValidation type="list" allowBlank="1" showErrorMessage="1" sqref="D45:D79">
      <formula1>"1A,1B,2A,2B,3A,3B,4A,4B"</formula1>
    </dataValidation>
    <dataValidation type="list" allowBlank="1" showErrorMessage="1" sqref="C2:C10 C12:C48">
      <formula1>"Carvalheira,Carrefour/Bompreço"</formula1>
    </dataValidation>
    <dataValidation type="list" allowBlank="1" showErrorMessage="1" sqref="C49:C648 C650:C1028">
      <formula1>"Carvalheira,Carrefour/Bompreço,Doca C,Administração,Tio Armenio,Plim,Gabriel Bacelar,Terra,Brulee,Zio,Yoshi,Companhia do Chopp"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1.0"/>
    <col customWidth="1" min="4" max="4" width="18.75"/>
    <col customWidth="1" min="5" max="5" width="25.5"/>
  </cols>
  <sheetData>
    <row r="1">
      <c r="A1" s="131"/>
      <c r="B1" s="132" t="s">
        <v>1</v>
      </c>
      <c r="C1" s="133" t="s">
        <v>970</v>
      </c>
      <c r="D1" s="133" t="s">
        <v>971</v>
      </c>
      <c r="E1" s="134" t="s">
        <v>972</v>
      </c>
    </row>
    <row r="2">
      <c r="A2" s="10"/>
      <c r="B2" s="42">
        <v>45218.0</v>
      </c>
      <c r="C2" s="49">
        <v>51.75</v>
      </c>
      <c r="D2" s="49">
        <v>51.75</v>
      </c>
      <c r="E2" s="39"/>
    </row>
    <row r="3">
      <c r="A3" s="10"/>
      <c r="B3" s="42">
        <v>45221.0</v>
      </c>
      <c r="C3" s="49">
        <v>74.21</v>
      </c>
      <c r="D3" s="51">
        <f t="shared" ref="D3:D362" si="1">D2+C3</f>
        <v>125.96</v>
      </c>
      <c r="E3" s="39"/>
    </row>
    <row r="4">
      <c r="A4" s="10"/>
      <c r="B4" s="42">
        <v>45224.0</v>
      </c>
      <c r="C4" s="49">
        <v>88.53</v>
      </c>
      <c r="D4" s="51">
        <f t="shared" si="1"/>
        <v>214.49</v>
      </c>
      <c r="E4" s="39"/>
    </row>
    <row r="5">
      <c r="A5" s="10"/>
      <c r="B5" s="42">
        <v>45226.0</v>
      </c>
      <c r="C5" s="49">
        <v>25.46</v>
      </c>
      <c r="D5" s="51">
        <f t="shared" si="1"/>
        <v>239.95</v>
      </c>
      <c r="E5" s="39"/>
    </row>
    <row r="6">
      <c r="A6" s="10"/>
      <c r="B6" s="42">
        <v>45228.0</v>
      </c>
      <c r="C6" s="49">
        <v>72.28</v>
      </c>
      <c r="D6" s="51">
        <f t="shared" si="1"/>
        <v>312.23</v>
      </c>
      <c r="E6" s="39"/>
    </row>
    <row r="7">
      <c r="A7" s="10"/>
      <c r="B7" s="42">
        <v>45233.0</v>
      </c>
      <c r="C7" s="49">
        <v>102.65</v>
      </c>
      <c r="D7" s="51">
        <f t="shared" si="1"/>
        <v>414.88</v>
      </c>
      <c r="E7" s="39"/>
    </row>
    <row r="8">
      <c r="A8" s="10"/>
      <c r="B8" s="42">
        <v>45236.0</v>
      </c>
      <c r="C8" s="49">
        <v>108.15</v>
      </c>
      <c r="D8" s="51">
        <f t="shared" si="1"/>
        <v>523.03</v>
      </c>
      <c r="E8" s="39"/>
    </row>
    <row r="9">
      <c r="A9" s="10"/>
      <c r="B9" s="42">
        <v>45240.0</v>
      </c>
      <c r="C9" s="49">
        <v>51.09</v>
      </c>
      <c r="D9" s="51">
        <f t="shared" si="1"/>
        <v>574.12</v>
      </c>
      <c r="E9" s="39"/>
    </row>
    <row r="10">
      <c r="A10" s="10"/>
      <c r="B10" s="42">
        <v>45247.0</v>
      </c>
      <c r="C10" s="49">
        <v>170.6</v>
      </c>
      <c r="D10" s="51">
        <f t="shared" si="1"/>
        <v>744.72</v>
      </c>
      <c r="E10" s="39"/>
    </row>
    <row r="11">
      <c r="A11" s="10"/>
      <c r="B11" s="42">
        <v>45251.0</v>
      </c>
      <c r="C11" s="49">
        <v>132.4</v>
      </c>
      <c r="D11" s="51">
        <f t="shared" si="1"/>
        <v>877.12</v>
      </c>
      <c r="E11" s="39"/>
    </row>
    <row r="12">
      <c r="A12" s="10"/>
      <c r="B12" s="42">
        <v>45258.0</v>
      </c>
      <c r="C12" s="49">
        <v>136.52</v>
      </c>
      <c r="D12" s="51">
        <f t="shared" si="1"/>
        <v>1013.64</v>
      </c>
      <c r="E12" s="39"/>
    </row>
    <row r="13">
      <c r="A13" s="10"/>
      <c r="B13" s="42">
        <v>45265.0</v>
      </c>
      <c r="C13" s="49">
        <v>208.2</v>
      </c>
      <c r="D13" s="51">
        <f t="shared" si="1"/>
        <v>1221.84</v>
      </c>
      <c r="E13" s="39"/>
    </row>
    <row r="14">
      <c r="A14" s="10"/>
      <c r="B14" s="42">
        <v>45269.0</v>
      </c>
      <c r="C14" s="49">
        <v>158.79</v>
      </c>
      <c r="D14" s="51">
        <f t="shared" si="1"/>
        <v>1380.63</v>
      </c>
      <c r="E14" s="39"/>
    </row>
    <row r="15">
      <c r="A15" s="10"/>
      <c r="B15" s="42">
        <v>45272.0</v>
      </c>
      <c r="C15" s="49">
        <v>163.04</v>
      </c>
      <c r="D15" s="51">
        <f t="shared" si="1"/>
        <v>1543.67</v>
      </c>
      <c r="E15" s="39"/>
    </row>
    <row r="16">
      <c r="A16" s="21"/>
      <c r="B16" s="41">
        <v>45275.0</v>
      </c>
      <c r="C16" s="49">
        <v>212.85</v>
      </c>
      <c r="D16" s="51">
        <f t="shared" si="1"/>
        <v>1756.52</v>
      </c>
      <c r="E16" s="39"/>
    </row>
    <row r="17">
      <c r="A17" s="21"/>
      <c r="B17" s="41">
        <v>45279.0</v>
      </c>
      <c r="C17" s="49">
        <v>136.87</v>
      </c>
      <c r="D17" s="51">
        <f t="shared" si="1"/>
        <v>1893.39</v>
      </c>
      <c r="E17" s="39"/>
    </row>
    <row r="18">
      <c r="A18" s="21"/>
      <c r="B18" s="41">
        <v>45282.0</v>
      </c>
      <c r="C18" s="49">
        <v>206.75</v>
      </c>
      <c r="D18" s="51">
        <f t="shared" si="1"/>
        <v>2100.14</v>
      </c>
      <c r="E18" s="39"/>
    </row>
    <row r="19">
      <c r="A19" s="21"/>
      <c r="B19" s="41">
        <v>45286.0</v>
      </c>
      <c r="C19" s="49">
        <v>188.6</v>
      </c>
      <c r="D19" s="51">
        <f t="shared" si="1"/>
        <v>2288.74</v>
      </c>
      <c r="E19" s="39"/>
    </row>
    <row r="20">
      <c r="A20" s="21"/>
      <c r="B20" s="41">
        <v>45290.0</v>
      </c>
      <c r="C20" s="49">
        <v>121.56</v>
      </c>
      <c r="D20" s="51">
        <f t="shared" si="1"/>
        <v>2410.3</v>
      </c>
      <c r="E20" s="39"/>
    </row>
    <row r="21">
      <c r="A21" s="21"/>
      <c r="B21" s="41">
        <v>45294.0</v>
      </c>
      <c r="C21" s="49">
        <v>200.2</v>
      </c>
      <c r="D21" s="51">
        <f t="shared" si="1"/>
        <v>2610.5</v>
      </c>
      <c r="E21" s="39"/>
    </row>
    <row r="22">
      <c r="A22" s="21"/>
      <c r="B22" s="41">
        <v>45297.0</v>
      </c>
      <c r="C22" s="49">
        <v>75.2</v>
      </c>
      <c r="D22" s="51">
        <f t="shared" si="1"/>
        <v>2685.7</v>
      </c>
      <c r="E22" s="39"/>
    </row>
    <row r="23">
      <c r="A23" s="21"/>
      <c r="B23" s="41">
        <v>45300.0</v>
      </c>
      <c r="C23" s="49">
        <v>120.0</v>
      </c>
      <c r="D23" s="51">
        <f t="shared" si="1"/>
        <v>2805.7</v>
      </c>
      <c r="E23" s="39"/>
    </row>
    <row r="24">
      <c r="A24" s="21"/>
      <c r="B24" s="41">
        <v>45303.0</v>
      </c>
      <c r="C24" s="49">
        <v>81.8</v>
      </c>
      <c r="D24" s="51">
        <f t="shared" si="1"/>
        <v>2887.5</v>
      </c>
      <c r="E24" s="39"/>
    </row>
    <row r="25">
      <c r="A25" s="21"/>
      <c r="B25" s="41">
        <v>45307.0</v>
      </c>
      <c r="C25" s="49">
        <v>114.8</v>
      </c>
      <c r="D25" s="51">
        <f t="shared" si="1"/>
        <v>3002.3</v>
      </c>
      <c r="E25" s="39"/>
    </row>
    <row r="26">
      <c r="A26" s="21"/>
      <c r="B26" s="41">
        <v>45310.0</v>
      </c>
      <c r="C26" s="49">
        <v>80.67</v>
      </c>
      <c r="D26" s="51">
        <f t="shared" si="1"/>
        <v>3082.97</v>
      </c>
      <c r="E26" s="39"/>
    </row>
    <row r="27">
      <c r="A27" s="21"/>
      <c r="B27" s="41">
        <v>45314.0</v>
      </c>
      <c r="C27" s="49">
        <v>112.56</v>
      </c>
      <c r="D27" s="51">
        <f t="shared" si="1"/>
        <v>3195.53</v>
      </c>
      <c r="E27" s="39"/>
    </row>
    <row r="28">
      <c r="A28" s="21"/>
      <c r="B28" s="41">
        <v>45317.0</v>
      </c>
      <c r="C28" s="49">
        <v>178.85</v>
      </c>
      <c r="D28" s="51">
        <f t="shared" si="1"/>
        <v>3374.38</v>
      </c>
      <c r="E28" s="39"/>
    </row>
    <row r="29">
      <c r="A29" s="21"/>
      <c r="B29" s="41">
        <v>45321.0</v>
      </c>
      <c r="C29" s="49">
        <v>98.67</v>
      </c>
      <c r="D29" s="51">
        <f t="shared" si="1"/>
        <v>3473.05</v>
      </c>
      <c r="E29" s="39"/>
    </row>
    <row r="30">
      <c r="A30" s="21"/>
      <c r="B30" s="41">
        <v>45324.0</v>
      </c>
      <c r="C30" s="49">
        <v>122.37</v>
      </c>
      <c r="D30" s="51">
        <f t="shared" si="1"/>
        <v>3595.42</v>
      </c>
      <c r="E30" s="39"/>
    </row>
    <row r="31">
      <c r="A31" s="21"/>
      <c r="B31" s="41">
        <v>45328.0</v>
      </c>
      <c r="C31" s="49">
        <v>55.35</v>
      </c>
      <c r="D31" s="51">
        <f t="shared" si="1"/>
        <v>3650.77</v>
      </c>
      <c r="E31" s="39"/>
    </row>
    <row r="32">
      <c r="A32" s="21"/>
      <c r="B32" s="41">
        <v>45331.0</v>
      </c>
      <c r="C32" s="49">
        <v>23.3</v>
      </c>
      <c r="D32" s="51">
        <f t="shared" si="1"/>
        <v>3674.07</v>
      </c>
      <c r="E32" s="39"/>
    </row>
    <row r="33">
      <c r="A33" s="21"/>
      <c r="B33" s="41">
        <v>45337.0</v>
      </c>
      <c r="C33" s="49">
        <v>103.76</v>
      </c>
      <c r="D33" s="51">
        <f t="shared" si="1"/>
        <v>3777.83</v>
      </c>
      <c r="E33" s="39"/>
    </row>
    <row r="34">
      <c r="A34" s="21"/>
      <c r="B34" s="41">
        <v>45341.0</v>
      </c>
      <c r="C34" s="49">
        <f>175.61+'Acompanhamento Compostagem Alvo'!E35</f>
        <v>279.36</v>
      </c>
      <c r="D34" s="51">
        <f t="shared" si="1"/>
        <v>4057.19</v>
      </c>
      <c r="E34" s="39"/>
    </row>
    <row r="35">
      <c r="A35" s="21"/>
      <c r="B35" s="41">
        <v>45345.0</v>
      </c>
      <c r="C35" s="49">
        <f>'Acompanhamento Compostagem Alvo'!E39+'Acompanhamento Compostagem Alvo'!E40</f>
        <v>241.89</v>
      </c>
      <c r="D35" s="51">
        <f t="shared" si="1"/>
        <v>4299.08</v>
      </c>
      <c r="E35" s="39"/>
    </row>
    <row r="36">
      <c r="A36" s="21"/>
      <c r="B36" s="41">
        <v>45348.0</v>
      </c>
      <c r="C36" s="51">
        <f>'Acompanhamento Compostagem Alvo'!E41+'Acompanhamento Compostagem Alvo'!E42</f>
        <v>429.21</v>
      </c>
      <c r="D36" s="51">
        <f t="shared" si="1"/>
        <v>4728.29</v>
      </c>
      <c r="E36" s="39"/>
    </row>
    <row r="37">
      <c r="A37" s="21"/>
      <c r="B37" s="41">
        <v>45350.0</v>
      </c>
      <c r="C37" s="51">
        <f>'Acompanhamento Compostagem Alvo'!E44+'Acompanhamento Compostagem Alvo'!E43</f>
        <v>264.3</v>
      </c>
      <c r="D37" s="51">
        <f t="shared" si="1"/>
        <v>4992.59</v>
      </c>
      <c r="E37" s="39"/>
    </row>
    <row r="38">
      <c r="A38" s="23"/>
      <c r="B38" s="41">
        <v>45352.0</v>
      </c>
      <c r="C38" s="49">
        <v>287.94</v>
      </c>
      <c r="D38" s="51">
        <f t="shared" si="1"/>
        <v>5280.53</v>
      </c>
      <c r="E38" s="39"/>
    </row>
    <row r="39">
      <c r="A39" s="135"/>
      <c r="B39" s="52">
        <v>45355.0</v>
      </c>
      <c r="C39" s="51">
        <v>274.5</v>
      </c>
      <c r="D39" s="51">
        <f t="shared" si="1"/>
        <v>5555.03</v>
      </c>
      <c r="E39" s="39"/>
    </row>
    <row r="40">
      <c r="A40" s="135"/>
      <c r="B40" s="52">
        <v>45356.0</v>
      </c>
      <c r="C40" s="51">
        <v>156.15</v>
      </c>
      <c r="D40" s="51">
        <f t="shared" si="1"/>
        <v>5711.18</v>
      </c>
      <c r="E40" s="39"/>
    </row>
    <row r="41">
      <c r="A41" s="135"/>
      <c r="B41" s="52">
        <v>45358.0</v>
      </c>
      <c r="C41" s="51">
        <v>305.65</v>
      </c>
      <c r="D41" s="51">
        <f t="shared" si="1"/>
        <v>6016.83</v>
      </c>
      <c r="E41" s="39"/>
    </row>
    <row r="42">
      <c r="A42" s="23"/>
      <c r="B42" s="41">
        <v>45359.0</v>
      </c>
      <c r="C42" s="49">
        <v>293.67</v>
      </c>
      <c r="D42" s="51">
        <f t="shared" si="1"/>
        <v>6310.5</v>
      </c>
      <c r="E42" s="39"/>
    </row>
    <row r="43">
      <c r="A43" s="23"/>
      <c r="B43" s="41">
        <v>45362.0</v>
      </c>
      <c r="C43" s="51">
        <v>266.23</v>
      </c>
      <c r="D43" s="51">
        <f t="shared" si="1"/>
        <v>6576.73</v>
      </c>
      <c r="E43" s="39"/>
    </row>
    <row r="44">
      <c r="A44" s="23"/>
      <c r="B44" s="41">
        <v>45364.0</v>
      </c>
      <c r="C44" s="49">
        <v>345.95</v>
      </c>
      <c r="D44" s="51">
        <f t="shared" si="1"/>
        <v>6922.68</v>
      </c>
      <c r="E44" s="39"/>
    </row>
    <row r="45">
      <c r="A45" s="23"/>
      <c r="B45" s="41">
        <v>45366.0</v>
      </c>
      <c r="C45" s="51">
        <f>'Acompanhamento Compostagem Alvo'!E64+'Acompanhamento Compostagem Alvo'!E65+'Acompanhamento Compostagem Alvo'!E66</f>
        <v>449.75</v>
      </c>
      <c r="D45" s="51">
        <f t="shared" si="1"/>
        <v>7372.43</v>
      </c>
      <c r="E45" s="39"/>
    </row>
    <row r="46">
      <c r="A46" s="23"/>
      <c r="B46" s="41">
        <v>45370.0</v>
      </c>
      <c r="C46" s="49">
        <v>323.98</v>
      </c>
      <c r="D46" s="51">
        <f t="shared" si="1"/>
        <v>7696.41</v>
      </c>
      <c r="E46" s="39"/>
    </row>
    <row r="47">
      <c r="A47" s="23"/>
      <c r="B47" s="41">
        <v>45372.0</v>
      </c>
      <c r="C47" s="49">
        <v>335.49</v>
      </c>
      <c r="D47" s="51">
        <f t="shared" si="1"/>
        <v>8031.9</v>
      </c>
      <c r="E47" s="39"/>
    </row>
    <row r="48">
      <c r="A48" s="23"/>
      <c r="B48" s="41">
        <v>45373.0</v>
      </c>
      <c r="C48" s="51">
        <f>'Acompanhamento Compostagem Alvo'!E73+'Acompanhamento Compostagem Alvo'!E74</f>
        <v>121.34</v>
      </c>
      <c r="D48" s="51">
        <f t="shared" si="1"/>
        <v>8153.24</v>
      </c>
      <c r="E48" s="39"/>
    </row>
    <row r="49">
      <c r="A49" s="23"/>
      <c r="B49" s="41">
        <v>45376.0</v>
      </c>
      <c r="C49" s="51">
        <f>'Acompanhamento Compostagem Alvo'!E76+'Acompanhamento Compostagem Alvo'!E75</f>
        <v>397.83</v>
      </c>
      <c r="D49" s="51">
        <f t="shared" si="1"/>
        <v>8551.07</v>
      </c>
      <c r="E49" s="39"/>
    </row>
    <row r="50">
      <c r="A50" s="23"/>
      <c r="B50" s="41">
        <v>45379.0</v>
      </c>
      <c r="C50" s="51">
        <f>'Acompanhamento Compostagem Alvo'!E79+'Acompanhamento Compostagem Alvo'!E78+'Acompanhamento Compostagem Alvo'!E77</f>
        <v>481.47</v>
      </c>
      <c r="D50" s="51">
        <f t="shared" si="1"/>
        <v>9032.54</v>
      </c>
      <c r="E50" s="39"/>
    </row>
    <row r="51">
      <c r="A51" s="136"/>
      <c r="B51" s="42">
        <v>45383.0</v>
      </c>
      <c r="C51" s="43">
        <v>602.55</v>
      </c>
      <c r="D51" s="51">
        <f t="shared" si="1"/>
        <v>9635.09</v>
      </c>
      <c r="E51" s="39"/>
    </row>
    <row r="52">
      <c r="A52" s="25"/>
      <c r="B52" s="42">
        <v>45385.0</v>
      </c>
      <c r="C52" s="43">
        <v>557.4</v>
      </c>
      <c r="D52" s="51">
        <f t="shared" si="1"/>
        <v>10192.49</v>
      </c>
      <c r="E52" s="39"/>
    </row>
    <row r="53">
      <c r="A53" s="25"/>
      <c r="B53" s="41">
        <v>45387.0</v>
      </c>
      <c r="C53" s="35">
        <f>'Acompanhamento Compostagem Alvo'!E87+'Acompanhamento Compostagem Alvo'!E88+'Acompanhamento Compostagem Alvo'!E89+'Acompanhamento Compostagem Alvo'!E90</f>
        <v>527.39</v>
      </c>
      <c r="D53" s="51">
        <f t="shared" si="1"/>
        <v>10719.88</v>
      </c>
      <c r="E53" s="39"/>
    </row>
    <row r="54">
      <c r="A54" s="25"/>
      <c r="B54" s="41">
        <v>45390.0</v>
      </c>
      <c r="C54" s="43">
        <v>451.92</v>
      </c>
      <c r="D54" s="51">
        <f t="shared" si="1"/>
        <v>11171.8</v>
      </c>
      <c r="E54" s="39"/>
    </row>
    <row r="55">
      <c r="B55" s="42">
        <v>45392.0</v>
      </c>
      <c r="C55" s="43">
        <v>345.6</v>
      </c>
      <c r="D55" s="51">
        <f t="shared" si="1"/>
        <v>11517.4</v>
      </c>
      <c r="E55" s="39"/>
    </row>
    <row r="56">
      <c r="B56" s="42">
        <v>45394.0</v>
      </c>
      <c r="C56" s="43">
        <v>433.74</v>
      </c>
      <c r="D56" s="51">
        <f t="shared" si="1"/>
        <v>11951.14</v>
      </c>
      <c r="E56" s="39"/>
    </row>
    <row r="57">
      <c r="B57" s="42">
        <v>45397.0</v>
      </c>
      <c r="C57" s="43">
        <v>496.0</v>
      </c>
      <c r="D57" s="51">
        <f t="shared" si="1"/>
        <v>12447.14</v>
      </c>
      <c r="E57" s="39"/>
    </row>
    <row r="58">
      <c r="B58" s="42">
        <v>45399.0</v>
      </c>
      <c r="C58" s="43">
        <v>475.23</v>
      </c>
      <c r="D58" s="51">
        <f t="shared" si="1"/>
        <v>12922.37</v>
      </c>
      <c r="E58" s="39"/>
    </row>
    <row r="59">
      <c r="B59" s="42">
        <v>45401.0</v>
      </c>
      <c r="C59" s="43">
        <v>526.4</v>
      </c>
      <c r="D59" s="51">
        <f t="shared" si="1"/>
        <v>13448.77</v>
      </c>
      <c r="E59" s="39"/>
    </row>
    <row r="60">
      <c r="B60" s="42">
        <v>45404.0</v>
      </c>
      <c r="C60" s="43">
        <v>516.28</v>
      </c>
      <c r="D60" s="51">
        <f t="shared" si="1"/>
        <v>13965.05</v>
      </c>
      <c r="E60" s="39"/>
    </row>
    <row r="61">
      <c r="B61" s="42">
        <v>45406.0</v>
      </c>
      <c r="C61" s="43">
        <v>414.55</v>
      </c>
      <c r="D61" s="51">
        <f t="shared" si="1"/>
        <v>14379.6</v>
      </c>
      <c r="E61" s="39"/>
    </row>
    <row r="62">
      <c r="B62" s="42">
        <v>45408.0</v>
      </c>
      <c r="C62" s="43">
        <v>366.05</v>
      </c>
      <c r="D62" s="51">
        <f t="shared" si="1"/>
        <v>14745.65</v>
      </c>
      <c r="E62" s="39"/>
    </row>
    <row r="63">
      <c r="B63" s="42">
        <v>45411.0</v>
      </c>
      <c r="C63" s="43">
        <v>698.2</v>
      </c>
      <c r="D63" s="51">
        <f t="shared" si="1"/>
        <v>15443.85</v>
      </c>
      <c r="E63" s="39"/>
    </row>
    <row r="64">
      <c r="B64" s="42">
        <v>45414.0</v>
      </c>
      <c r="C64" s="43">
        <v>479.06</v>
      </c>
      <c r="D64" s="51">
        <f t="shared" si="1"/>
        <v>15922.91</v>
      </c>
      <c r="E64" s="39"/>
    </row>
    <row r="65">
      <c r="B65" s="42">
        <v>45415.0</v>
      </c>
      <c r="C65" s="43">
        <v>365.52</v>
      </c>
      <c r="D65" s="51">
        <f t="shared" si="1"/>
        <v>16288.43</v>
      </c>
      <c r="E65" s="39"/>
    </row>
    <row r="66">
      <c r="B66" s="42">
        <v>45417.0</v>
      </c>
      <c r="C66" s="56">
        <v>423.61</v>
      </c>
      <c r="D66" s="36">
        <f t="shared" si="1"/>
        <v>16712.04</v>
      </c>
      <c r="E66" s="39"/>
    </row>
    <row r="67">
      <c r="B67" s="42">
        <v>45420.0</v>
      </c>
      <c r="C67" s="43">
        <v>362.35</v>
      </c>
      <c r="D67" s="36">
        <f t="shared" si="1"/>
        <v>17074.39</v>
      </c>
      <c r="E67" s="37" t="s">
        <v>973</v>
      </c>
    </row>
    <row r="68">
      <c r="B68" s="42">
        <v>45422.0</v>
      </c>
      <c r="C68" s="43">
        <v>442.78</v>
      </c>
      <c r="D68" s="36">
        <f t="shared" si="1"/>
        <v>17517.17</v>
      </c>
      <c r="E68" s="37" t="s">
        <v>974</v>
      </c>
    </row>
    <row r="69">
      <c r="B69" s="42">
        <v>45425.0</v>
      </c>
      <c r="C69" s="43">
        <v>655.14</v>
      </c>
      <c r="D69" s="36">
        <f t="shared" si="1"/>
        <v>18172.31</v>
      </c>
      <c r="E69" s="37" t="s">
        <v>975</v>
      </c>
    </row>
    <row r="70">
      <c r="B70" s="42">
        <v>45427.0</v>
      </c>
      <c r="C70" s="43">
        <v>361.81</v>
      </c>
      <c r="D70" s="36">
        <f t="shared" si="1"/>
        <v>18534.12</v>
      </c>
      <c r="E70" s="37" t="s">
        <v>973</v>
      </c>
    </row>
    <row r="71">
      <c r="B71" s="42">
        <v>45429.0</v>
      </c>
      <c r="C71" s="43">
        <v>313.54</v>
      </c>
      <c r="D71" s="36">
        <f t="shared" si="1"/>
        <v>18847.66</v>
      </c>
      <c r="E71" s="37" t="s">
        <v>976</v>
      </c>
    </row>
    <row r="72">
      <c r="B72" s="42">
        <v>45432.0</v>
      </c>
      <c r="C72" s="43">
        <v>363.92</v>
      </c>
      <c r="D72" s="36">
        <f t="shared" si="1"/>
        <v>19211.58</v>
      </c>
      <c r="E72" s="37" t="s">
        <v>976</v>
      </c>
    </row>
    <row r="73">
      <c r="B73" s="42">
        <v>45434.0</v>
      </c>
      <c r="C73" s="43">
        <v>334.5</v>
      </c>
      <c r="D73" s="36">
        <f t="shared" si="1"/>
        <v>19546.08</v>
      </c>
      <c r="E73" s="37" t="s">
        <v>977</v>
      </c>
    </row>
    <row r="74">
      <c r="B74" s="42">
        <v>45436.0</v>
      </c>
      <c r="C74" s="43">
        <v>513.3</v>
      </c>
      <c r="D74" s="36">
        <f t="shared" si="1"/>
        <v>20059.38</v>
      </c>
      <c r="E74" s="37" t="s">
        <v>976</v>
      </c>
    </row>
    <row r="75">
      <c r="B75" s="42">
        <v>45439.0</v>
      </c>
      <c r="C75" s="43">
        <v>558.55</v>
      </c>
      <c r="D75" s="36">
        <f t="shared" si="1"/>
        <v>20617.93</v>
      </c>
      <c r="E75" s="37" t="s">
        <v>978</v>
      </c>
    </row>
    <row r="76">
      <c r="B76" s="42">
        <v>45441.0</v>
      </c>
      <c r="C76" s="56">
        <v>358.59</v>
      </c>
      <c r="D76" s="36">
        <f t="shared" si="1"/>
        <v>20976.52</v>
      </c>
      <c r="E76" s="37" t="s">
        <v>979</v>
      </c>
    </row>
    <row r="77">
      <c r="B77" s="66">
        <v>45443.0</v>
      </c>
      <c r="C77" s="56">
        <v>383.11</v>
      </c>
      <c r="D77" s="36">
        <f t="shared" si="1"/>
        <v>21359.63</v>
      </c>
      <c r="E77" s="37" t="s">
        <v>980</v>
      </c>
    </row>
    <row r="78">
      <c r="B78" s="66">
        <v>45446.0</v>
      </c>
      <c r="C78" s="56">
        <v>643.71</v>
      </c>
      <c r="D78" s="36">
        <f t="shared" si="1"/>
        <v>22003.34</v>
      </c>
      <c r="E78" s="37" t="s">
        <v>976</v>
      </c>
    </row>
    <row r="79">
      <c r="B79" s="59">
        <v>45448.0</v>
      </c>
      <c r="C79" s="56">
        <v>245.05</v>
      </c>
      <c r="D79" s="36">
        <f t="shared" si="1"/>
        <v>22248.39</v>
      </c>
      <c r="E79" s="37" t="s">
        <v>976</v>
      </c>
    </row>
    <row r="80">
      <c r="B80" s="42">
        <v>45449.0</v>
      </c>
      <c r="C80" s="56">
        <v>386.08</v>
      </c>
      <c r="D80" s="36">
        <f t="shared" si="1"/>
        <v>22634.47</v>
      </c>
      <c r="E80" s="37" t="s">
        <v>980</v>
      </c>
    </row>
    <row r="81">
      <c r="B81" s="42">
        <v>45450.0</v>
      </c>
      <c r="C81" s="56">
        <v>114.35</v>
      </c>
      <c r="D81" s="36">
        <f t="shared" si="1"/>
        <v>22748.82</v>
      </c>
      <c r="E81" s="37" t="s">
        <v>980</v>
      </c>
    </row>
    <row r="82">
      <c r="B82" s="42">
        <v>45453.0</v>
      </c>
      <c r="C82" s="43">
        <v>416.78</v>
      </c>
      <c r="D82" s="36">
        <f t="shared" si="1"/>
        <v>23165.6</v>
      </c>
      <c r="E82" s="37" t="s">
        <v>980</v>
      </c>
    </row>
    <row r="83">
      <c r="B83" s="42">
        <v>45454.0</v>
      </c>
      <c r="C83" s="43">
        <v>304.26</v>
      </c>
      <c r="D83" s="36">
        <f t="shared" si="1"/>
        <v>23469.86</v>
      </c>
      <c r="E83" s="37" t="s">
        <v>980</v>
      </c>
    </row>
    <row r="84">
      <c r="B84" s="42">
        <v>45455.0</v>
      </c>
      <c r="C84" s="43">
        <v>292.0</v>
      </c>
      <c r="D84" s="36">
        <f t="shared" si="1"/>
        <v>23761.86</v>
      </c>
      <c r="E84" s="37" t="s">
        <v>979</v>
      </c>
    </row>
    <row r="85">
      <c r="B85" s="42">
        <v>45456.0</v>
      </c>
      <c r="C85" s="43">
        <v>102.56</v>
      </c>
      <c r="D85" s="36">
        <f t="shared" si="1"/>
        <v>23864.42</v>
      </c>
      <c r="E85" s="37" t="s">
        <v>981</v>
      </c>
    </row>
    <row r="86">
      <c r="B86" s="42">
        <v>45460.0</v>
      </c>
      <c r="C86" s="43">
        <v>684.0</v>
      </c>
      <c r="D86" s="36">
        <f t="shared" si="1"/>
        <v>24548.42</v>
      </c>
      <c r="E86" s="37" t="s">
        <v>982</v>
      </c>
    </row>
    <row r="87">
      <c r="B87" s="42">
        <v>45461.0</v>
      </c>
      <c r="C87" s="43">
        <v>286.4</v>
      </c>
      <c r="D87" s="36">
        <f t="shared" si="1"/>
        <v>24834.82</v>
      </c>
      <c r="E87" s="37" t="s">
        <v>976</v>
      </c>
    </row>
    <row r="88">
      <c r="B88" s="42">
        <v>45463.0</v>
      </c>
      <c r="C88" s="43">
        <v>281.5</v>
      </c>
      <c r="D88" s="36">
        <f t="shared" si="1"/>
        <v>25116.32</v>
      </c>
      <c r="E88" s="37" t="s">
        <v>976</v>
      </c>
    </row>
    <row r="89">
      <c r="B89" s="42">
        <v>45464.0</v>
      </c>
      <c r="C89" s="43">
        <v>128.75</v>
      </c>
      <c r="D89" s="36">
        <f t="shared" si="1"/>
        <v>25245.07</v>
      </c>
      <c r="E89" s="37" t="s">
        <v>981</v>
      </c>
    </row>
    <row r="90">
      <c r="B90" s="42">
        <v>45468.0</v>
      </c>
      <c r="C90" s="43">
        <v>462.03</v>
      </c>
      <c r="D90" s="36">
        <f t="shared" si="1"/>
        <v>25707.1</v>
      </c>
      <c r="E90" s="37" t="s">
        <v>983</v>
      </c>
    </row>
    <row r="91">
      <c r="B91" s="42">
        <v>45469.0</v>
      </c>
      <c r="C91" s="43">
        <v>279.58</v>
      </c>
      <c r="D91" s="36">
        <f t="shared" si="1"/>
        <v>25986.68</v>
      </c>
      <c r="E91" s="37" t="s">
        <v>980</v>
      </c>
    </row>
    <row r="92">
      <c r="B92" s="42">
        <v>45471.0</v>
      </c>
      <c r="C92" s="43">
        <v>249.9</v>
      </c>
      <c r="D92" s="36">
        <f t="shared" si="1"/>
        <v>26236.58</v>
      </c>
      <c r="E92" s="37" t="s">
        <v>980</v>
      </c>
    </row>
    <row r="93">
      <c r="B93" s="42">
        <v>45474.0</v>
      </c>
      <c r="C93" s="43">
        <v>357.05</v>
      </c>
      <c r="D93" s="36">
        <f t="shared" si="1"/>
        <v>26593.63</v>
      </c>
      <c r="E93" s="37" t="s">
        <v>979</v>
      </c>
    </row>
    <row r="94">
      <c r="B94" s="42">
        <v>45478.0</v>
      </c>
      <c r="C94" s="43">
        <v>510.89</v>
      </c>
      <c r="D94" s="36">
        <f t="shared" si="1"/>
        <v>27104.52</v>
      </c>
      <c r="E94" s="37" t="s">
        <v>976</v>
      </c>
    </row>
    <row r="95">
      <c r="B95" s="42">
        <v>45481.0</v>
      </c>
      <c r="C95" s="43">
        <v>389.92</v>
      </c>
      <c r="D95" s="36">
        <f t="shared" si="1"/>
        <v>27494.44</v>
      </c>
      <c r="E95" s="37" t="s">
        <v>976</v>
      </c>
    </row>
    <row r="96">
      <c r="B96" s="42">
        <v>45483.0</v>
      </c>
      <c r="C96" s="43">
        <v>262.05</v>
      </c>
      <c r="D96" s="36">
        <f t="shared" si="1"/>
        <v>27756.49</v>
      </c>
      <c r="E96" s="37" t="s">
        <v>976</v>
      </c>
    </row>
    <row r="97">
      <c r="B97" s="42">
        <v>45485.0</v>
      </c>
      <c r="C97" s="43">
        <v>271.75</v>
      </c>
      <c r="D97" s="36">
        <f t="shared" si="1"/>
        <v>28028.24</v>
      </c>
      <c r="E97" s="37" t="s">
        <v>984</v>
      </c>
    </row>
    <row r="98">
      <c r="B98" s="42">
        <v>45488.0</v>
      </c>
      <c r="C98" s="43">
        <v>352.45</v>
      </c>
      <c r="D98" s="36">
        <f t="shared" si="1"/>
        <v>28380.69</v>
      </c>
      <c r="E98" s="37" t="s">
        <v>985</v>
      </c>
    </row>
    <row r="99">
      <c r="B99" s="42">
        <v>45492.0</v>
      </c>
      <c r="C99" s="43">
        <v>520.91</v>
      </c>
      <c r="D99" s="36">
        <f t="shared" si="1"/>
        <v>28901.6</v>
      </c>
      <c r="E99" s="37" t="s">
        <v>984</v>
      </c>
    </row>
    <row r="100">
      <c r="B100" s="42">
        <v>45496.0</v>
      </c>
      <c r="C100" s="43">
        <v>386.78</v>
      </c>
      <c r="D100" s="36">
        <f t="shared" si="1"/>
        <v>29288.38</v>
      </c>
      <c r="E100" s="44" t="s">
        <v>985</v>
      </c>
    </row>
    <row r="101">
      <c r="B101" s="42">
        <v>45497.0</v>
      </c>
      <c r="C101" s="43">
        <v>119.07</v>
      </c>
      <c r="D101" s="36">
        <f t="shared" si="1"/>
        <v>29407.45</v>
      </c>
      <c r="E101" s="37" t="s">
        <v>981</v>
      </c>
    </row>
    <row r="102">
      <c r="B102" s="42">
        <v>45498.0</v>
      </c>
      <c r="C102" s="43">
        <v>182.64</v>
      </c>
      <c r="D102" s="36">
        <f t="shared" si="1"/>
        <v>29590.09</v>
      </c>
      <c r="E102" s="37" t="s">
        <v>986</v>
      </c>
    </row>
    <row r="103">
      <c r="B103" s="42">
        <v>45499.0</v>
      </c>
      <c r="C103" s="43">
        <v>210.7</v>
      </c>
      <c r="D103" s="36">
        <f t="shared" si="1"/>
        <v>29800.79</v>
      </c>
      <c r="E103" s="37" t="s">
        <v>980</v>
      </c>
    </row>
    <row r="104">
      <c r="B104" s="42">
        <v>45502.0</v>
      </c>
      <c r="C104" s="67">
        <v>332.23</v>
      </c>
      <c r="D104" s="36">
        <f t="shared" si="1"/>
        <v>30133.02</v>
      </c>
      <c r="E104" s="37" t="s">
        <v>979</v>
      </c>
    </row>
    <row r="105">
      <c r="B105" s="42">
        <v>45503.0</v>
      </c>
      <c r="C105" s="70">
        <v>451.08</v>
      </c>
      <c r="D105" s="36">
        <f t="shared" si="1"/>
        <v>30584.1</v>
      </c>
      <c r="E105" s="37" t="s">
        <v>979</v>
      </c>
    </row>
    <row r="106">
      <c r="B106" s="42">
        <v>45505.0</v>
      </c>
      <c r="C106" s="43">
        <v>233.12</v>
      </c>
      <c r="D106" s="36">
        <f t="shared" si="1"/>
        <v>30817.22</v>
      </c>
      <c r="E106" s="37" t="s">
        <v>980</v>
      </c>
    </row>
    <row r="107">
      <c r="B107" s="42">
        <v>45509.0</v>
      </c>
      <c r="C107" s="43">
        <v>390.05</v>
      </c>
      <c r="D107" s="36">
        <f t="shared" si="1"/>
        <v>31207.27</v>
      </c>
      <c r="E107" s="37" t="s">
        <v>987</v>
      </c>
    </row>
    <row r="108">
      <c r="B108" s="42">
        <v>45511.0</v>
      </c>
      <c r="C108" s="43">
        <v>375.63</v>
      </c>
      <c r="D108" s="36">
        <f t="shared" si="1"/>
        <v>31582.9</v>
      </c>
      <c r="E108" s="37" t="s">
        <v>987</v>
      </c>
    </row>
    <row r="109">
      <c r="B109" s="42">
        <v>45513.0</v>
      </c>
      <c r="C109" s="43">
        <v>249.91</v>
      </c>
      <c r="D109" s="36">
        <f t="shared" si="1"/>
        <v>31832.81</v>
      </c>
      <c r="E109" s="37" t="s">
        <v>988</v>
      </c>
    </row>
    <row r="110">
      <c r="B110" s="42">
        <v>45516.0</v>
      </c>
      <c r="C110" s="43">
        <v>601.33</v>
      </c>
      <c r="D110" s="36">
        <f t="shared" si="1"/>
        <v>32434.14</v>
      </c>
      <c r="E110" s="37" t="s">
        <v>989</v>
      </c>
    </row>
    <row r="111">
      <c r="B111" s="42">
        <v>45518.0</v>
      </c>
      <c r="C111" s="43">
        <v>364.6</v>
      </c>
      <c r="D111" s="36">
        <f t="shared" si="1"/>
        <v>32798.74</v>
      </c>
      <c r="E111" s="37" t="s">
        <v>987</v>
      </c>
    </row>
    <row r="112">
      <c r="B112" s="42">
        <v>45520.0</v>
      </c>
      <c r="C112" s="43">
        <v>298.67</v>
      </c>
      <c r="D112" s="36">
        <f t="shared" si="1"/>
        <v>33097.41</v>
      </c>
      <c r="E112" s="37" t="s">
        <v>988</v>
      </c>
    </row>
    <row r="113">
      <c r="B113" s="42">
        <v>45523.0</v>
      </c>
      <c r="C113" s="43">
        <v>285.67</v>
      </c>
      <c r="D113" s="36">
        <f t="shared" si="1"/>
        <v>33383.08</v>
      </c>
      <c r="E113" s="37" t="s">
        <v>988</v>
      </c>
    </row>
    <row r="114">
      <c r="B114" s="42">
        <v>45525.0</v>
      </c>
      <c r="C114" s="43">
        <v>315.65</v>
      </c>
      <c r="D114" s="36">
        <f t="shared" si="1"/>
        <v>33698.73</v>
      </c>
      <c r="E114" s="37" t="s">
        <v>987</v>
      </c>
    </row>
    <row r="115">
      <c r="B115" s="42">
        <v>45527.0</v>
      </c>
      <c r="C115" s="43">
        <v>268.3</v>
      </c>
      <c r="D115" s="36">
        <f t="shared" si="1"/>
        <v>33967.03</v>
      </c>
      <c r="E115" s="37" t="s">
        <v>988</v>
      </c>
    </row>
    <row r="116">
      <c r="B116" s="59">
        <v>45530.0</v>
      </c>
      <c r="C116" s="43">
        <v>502.45</v>
      </c>
      <c r="D116" s="36">
        <f t="shared" si="1"/>
        <v>34469.48</v>
      </c>
      <c r="E116" s="37" t="s">
        <v>984</v>
      </c>
    </row>
    <row r="117">
      <c r="B117" s="59">
        <v>45532.0</v>
      </c>
      <c r="C117" s="43">
        <v>309.35</v>
      </c>
      <c r="D117" s="36">
        <f t="shared" si="1"/>
        <v>34778.83</v>
      </c>
      <c r="E117" s="37" t="s">
        <v>987</v>
      </c>
    </row>
    <row r="118">
      <c r="B118" s="59">
        <v>45534.0</v>
      </c>
      <c r="C118" s="43">
        <v>365.31</v>
      </c>
      <c r="D118" s="36">
        <f t="shared" si="1"/>
        <v>35144.14</v>
      </c>
      <c r="E118" s="37" t="s">
        <v>976</v>
      </c>
    </row>
    <row r="119">
      <c r="B119" s="59">
        <v>45538.0</v>
      </c>
      <c r="C119" s="43">
        <v>494.79</v>
      </c>
      <c r="D119" s="36">
        <f t="shared" si="1"/>
        <v>35638.93</v>
      </c>
      <c r="E119" s="37" t="s">
        <v>976</v>
      </c>
    </row>
    <row r="120">
      <c r="B120" s="59">
        <v>45541.0</v>
      </c>
      <c r="C120" s="43">
        <v>422.82</v>
      </c>
      <c r="D120" s="36">
        <f t="shared" si="1"/>
        <v>36061.75</v>
      </c>
      <c r="E120" s="37" t="s">
        <v>976</v>
      </c>
    </row>
    <row r="121">
      <c r="B121" s="59">
        <v>45544.0</v>
      </c>
      <c r="C121" s="43">
        <v>437.82</v>
      </c>
      <c r="D121" s="36">
        <f t="shared" si="1"/>
        <v>36499.57</v>
      </c>
      <c r="E121" s="37" t="s">
        <v>976</v>
      </c>
    </row>
    <row r="122">
      <c r="B122" s="59">
        <v>45547.0</v>
      </c>
      <c r="C122" s="43">
        <v>479.94</v>
      </c>
      <c r="D122" s="36">
        <f t="shared" si="1"/>
        <v>36979.51</v>
      </c>
      <c r="E122" s="37" t="s">
        <v>976</v>
      </c>
    </row>
    <row r="123">
      <c r="B123" s="59">
        <v>45551.0</v>
      </c>
      <c r="C123" s="43">
        <v>276.0</v>
      </c>
      <c r="D123" s="36">
        <f t="shared" si="1"/>
        <v>37255.51</v>
      </c>
      <c r="E123" s="37" t="s">
        <v>988</v>
      </c>
    </row>
    <row r="124">
      <c r="B124" s="59">
        <v>45555.0</v>
      </c>
      <c r="C124" s="43">
        <v>501.78</v>
      </c>
      <c r="D124" s="36">
        <f t="shared" si="1"/>
        <v>37757.29</v>
      </c>
      <c r="E124" s="37" t="s">
        <v>984</v>
      </c>
    </row>
    <row r="125">
      <c r="B125" s="59">
        <v>45558.0</v>
      </c>
      <c r="C125" s="43">
        <v>571.8</v>
      </c>
      <c r="D125" s="36">
        <f t="shared" si="1"/>
        <v>38329.09</v>
      </c>
      <c r="E125" s="37" t="s">
        <v>984</v>
      </c>
    </row>
    <row r="126">
      <c r="B126" s="59">
        <v>45562.0</v>
      </c>
      <c r="C126" s="43">
        <v>565.88</v>
      </c>
      <c r="D126" s="36">
        <f t="shared" si="1"/>
        <v>38894.97</v>
      </c>
      <c r="E126" s="37" t="s">
        <v>984</v>
      </c>
    </row>
    <row r="127">
      <c r="B127" s="59">
        <v>45565.0</v>
      </c>
      <c r="C127" s="73">
        <v>612.36</v>
      </c>
      <c r="D127" s="36">
        <f t="shared" si="1"/>
        <v>39507.33</v>
      </c>
      <c r="E127" s="37" t="s">
        <v>984</v>
      </c>
    </row>
    <row r="128">
      <c r="B128" s="59">
        <v>45567.0</v>
      </c>
      <c r="C128" s="43">
        <v>307.56</v>
      </c>
      <c r="D128" s="36">
        <f t="shared" si="1"/>
        <v>39814.89</v>
      </c>
      <c r="E128" s="37" t="s">
        <v>987</v>
      </c>
    </row>
    <row r="129">
      <c r="B129" s="59">
        <v>45569.0</v>
      </c>
      <c r="C129" s="43">
        <v>419.4</v>
      </c>
      <c r="D129" s="36">
        <f t="shared" si="1"/>
        <v>40234.29</v>
      </c>
      <c r="E129" s="37" t="s">
        <v>973</v>
      </c>
    </row>
    <row r="130">
      <c r="B130" s="59">
        <v>45572.0</v>
      </c>
      <c r="C130" s="43">
        <v>330.05</v>
      </c>
      <c r="D130" s="36">
        <f t="shared" si="1"/>
        <v>40564.34</v>
      </c>
      <c r="E130" s="37" t="s">
        <v>985</v>
      </c>
    </row>
    <row r="131">
      <c r="B131" s="59">
        <v>45575.0</v>
      </c>
      <c r="C131" s="43">
        <v>635.56</v>
      </c>
      <c r="D131" s="36">
        <f t="shared" si="1"/>
        <v>41199.9</v>
      </c>
      <c r="E131" s="37" t="s">
        <v>984</v>
      </c>
    </row>
    <row r="132">
      <c r="B132" s="59">
        <v>45576.0</v>
      </c>
      <c r="C132" s="43">
        <v>167.27</v>
      </c>
      <c r="D132" s="36">
        <f t="shared" si="1"/>
        <v>41367.17</v>
      </c>
      <c r="E132" s="37" t="s">
        <v>988</v>
      </c>
    </row>
    <row r="133">
      <c r="B133" s="59">
        <v>45579.0</v>
      </c>
      <c r="C133" s="43">
        <v>542.21</v>
      </c>
      <c r="D133" s="36">
        <f t="shared" si="1"/>
        <v>41909.38</v>
      </c>
      <c r="E133" s="37" t="s">
        <v>973</v>
      </c>
    </row>
    <row r="134">
      <c r="B134" s="59">
        <v>45581.0</v>
      </c>
      <c r="C134" s="43">
        <v>239.87</v>
      </c>
      <c r="D134" s="36">
        <f t="shared" si="1"/>
        <v>42149.25</v>
      </c>
      <c r="E134" s="37" t="s">
        <v>988</v>
      </c>
    </row>
    <row r="135">
      <c r="B135" s="59">
        <v>45583.0</v>
      </c>
      <c r="C135" s="43">
        <v>622.34</v>
      </c>
      <c r="D135" s="36">
        <f t="shared" si="1"/>
        <v>42771.59</v>
      </c>
      <c r="E135" s="47" t="s">
        <v>990</v>
      </c>
    </row>
    <row r="136">
      <c r="B136" s="59">
        <v>45586.0</v>
      </c>
      <c r="C136" s="43">
        <v>248.3</v>
      </c>
      <c r="D136" s="36">
        <f t="shared" si="1"/>
        <v>43019.89</v>
      </c>
      <c r="E136" s="47" t="s">
        <v>991</v>
      </c>
    </row>
    <row r="137">
      <c r="B137" s="59">
        <v>45588.0</v>
      </c>
      <c r="C137" s="43">
        <v>505.67</v>
      </c>
      <c r="D137" s="36">
        <f t="shared" si="1"/>
        <v>43525.56</v>
      </c>
      <c r="E137" s="47" t="s">
        <v>992</v>
      </c>
    </row>
    <row r="138">
      <c r="B138" s="59">
        <v>45590.0</v>
      </c>
      <c r="C138" s="43">
        <v>205.67</v>
      </c>
      <c r="D138" s="36">
        <f t="shared" si="1"/>
        <v>43731.23</v>
      </c>
      <c r="E138" s="47" t="s">
        <v>993</v>
      </c>
    </row>
    <row r="139">
      <c r="B139" s="59">
        <v>45594.0</v>
      </c>
      <c r="C139" s="43">
        <v>426.78</v>
      </c>
      <c r="D139" s="36">
        <f t="shared" si="1"/>
        <v>44158.01</v>
      </c>
      <c r="E139" s="47" t="s">
        <v>990</v>
      </c>
    </row>
    <row r="140">
      <c r="B140" s="59">
        <v>45595.0</v>
      </c>
      <c r="C140" s="43">
        <v>166.81</v>
      </c>
      <c r="D140" s="36">
        <f t="shared" si="1"/>
        <v>44324.82</v>
      </c>
      <c r="E140" s="47" t="s">
        <v>991</v>
      </c>
    </row>
    <row r="141">
      <c r="B141" s="59">
        <v>45597.0</v>
      </c>
      <c r="C141" s="43">
        <v>538.05</v>
      </c>
      <c r="D141" s="36">
        <f t="shared" si="1"/>
        <v>44862.87</v>
      </c>
      <c r="E141" s="47" t="s">
        <v>994</v>
      </c>
    </row>
    <row r="142">
      <c r="B142" s="59">
        <v>45603.0</v>
      </c>
      <c r="C142" s="43">
        <v>680.6</v>
      </c>
      <c r="D142" s="36">
        <f t="shared" si="1"/>
        <v>45543.47</v>
      </c>
      <c r="E142" s="47" t="s">
        <v>994</v>
      </c>
    </row>
    <row r="143">
      <c r="B143" s="59">
        <v>45607.0</v>
      </c>
      <c r="C143" s="43">
        <v>596.78</v>
      </c>
      <c r="D143" s="36">
        <f t="shared" si="1"/>
        <v>46140.25</v>
      </c>
      <c r="E143" s="47" t="s">
        <v>995</v>
      </c>
    </row>
    <row r="144">
      <c r="B144" s="59">
        <v>45609.0</v>
      </c>
      <c r="C144" s="43">
        <v>207.75</v>
      </c>
      <c r="D144" s="36">
        <f t="shared" si="1"/>
        <v>46348</v>
      </c>
      <c r="E144" s="37" t="s">
        <v>996</v>
      </c>
    </row>
    <row r="145">
      <c r="B145" s="59">
        <v>45615.0</v>
      </c>
      <c r="C145" s="43">
        <v>672.54</v>
      </c>
      <c r="D145" s="36">
        <f t="shared" si="1"/>
        <v>47020.54</v>
      </c>
      <c r="E145" s="47" t="s">
        <v>997</v>
      </c>
    </row>
    <row r="146">
      <c r="B146" s="59">
        <v>45617.0</v>
      </c>
      <c r="C146" s="43">
        <v>162.66</v>
      </c>
      <c r="D146" s="36">
        <f t="shared" si="1"/>
        <v>47183.2</v>
      </c>
      <c r="E146" s="37" t="s">
        <v>998</v>
      </c>
    </row>
    <row r="147">
      <c r="B147" s="59">
        <v>45621.0</v>
      </c>
      <c r="C147" s="43">
        <v>455.16</v>
      </c>
      <c r="D147" s="36">
        <f t="shared" si="1"/>
        <v>47638.36</v>
      </c>
      <c r="E147" s="37" t="s">
        <v>999</v>
      </c>
    </row>
    <row r="148">
      <c r="B148" s="59">
        <v>45623.0</v>
      </c>
      <c r="C148" s="43">
        <v>481.76</v>
      </c>
      <c r="D148" s="36">
        <f t="shared" si="1"/>
        <v>48120.12</v>
      </c>
      <c r="E148" s="37" t="s">
        <v>1000</v>
      </c>
    </row>
    <row r="149">
      <c r="B149" s="59">
        <v>45625.0</v>
      </c>
      <c r="C149" s="43">
        <v>279.73</v>
      </c>
      <c r="D149" s="36">
        <f t="shared" si="1"/>
        <v>48399.85</v>
      </c>
      <c r="E149" s="37" t="s">
        <v>996</v>
      </c>
    </row>
    <row r="150">
      <c r="B150" s="59">
        <v>45628.0</v>
      </c>
      <c r="C150" s="43">
        <v>268.84</v>
      </c>
      <c r="D150" s="36">
        <f t="shared" si="1"/>
        <v>48668.69</v>
      </c>
      <c r="E150" s="37" t="s">
        <v>996</v>
      </c>
    </row>
    <row r="151">
      <c r="B151" s="59">
        <v>45630.0</v>
      </c>
      <c r="C151" s="43">
        <v>365.49</v>
      </c>
      <c r="D151" s="36">
        <f t="shared" si="1"/>
        <v>49034.18</v>
      </c>
      <c r="E151" s="37" t="s">
        <v>995</v>
      </c>
    </row>
    <row r="152">
      <c r="B152" s="59">
        <v>45635.0</v>
      </c>
      <c r="C152" s="43">
        <v>417.32</v>
      </c>
      <c r="D152" s="36">
        <f t="shared" si="1"/>
        <v>49451.5</v>
      </c>
      <c r="E152" s="37" t="s">
        <v>995</v>
      </c>
    </row>
    <row r="153">
      <c r="B153" s="59">
        <v>45638.0</v>
      </c>
      <c r="C153" s="43">
        <v>710.65</v>
      </c>
      <c r="D153" s="36">
        <f t="shared" si="1"/>
        <v>50162.15</v>
      </c>
      <c r="E153" s="37" t="s">
        <v>1001</v>
      </c>
    </row>
    <row r="154">
      <c r="B154" s="59">
        <v>45639.0</v>
      </c>
      <c r="C154" s="43">
        <v>159.11</v>
      </c>
      <c r="D154" s="36">
        <f t="shared" si="1"/>
        <v>50321.26</v>
      </c>
      <c r="E154" s="37" t="s">
        <v>998</v>
      </c>
    </row>
    <row r="155">
      <c r="B155" s="59">
        <v>45643.0</v>
      </c>
      <c r="C155" s="43">
        <v>549.45</v>
      </c>
      <c r="D155" s="36">
        <f t="shared" si="1"/>
        <v>50870.71</v>
      </c>
      <c r="E155" s="37" t="s">
        <v>1002</v>
      </c>
    </row>
    <row r="156">
      <c r="B156" s="59">
        <v>45646.0</v>
      </c>
      <c r="C156" s="43">
        <v>401.9</v>
      </c>
      <c r="D156" s="36">
        <f t="shared" si="1"/>
        <v>51272.61</v>
      </c>
      <c r="E156" s="37" t="s">
        <v>1002</v>
      </c>
    </row>
    <row r="157">
      <c r="B157" s="59">
        <v>45649.0</v>
      </c>
      <c r="C157" s="43">
        <v>610.2</v>
      </c>
      <c r="D157" s="36">
        <f t="shared" si="1"/>
        <v>51882.81</v>
      </c>
      <c r="E157" s="37" t="s">
        <v>1001</v>
      </c>
    </row>
    <row r="158">
      <c r="B158" s="59">
        <v>45652.0</v>
      </c>
      <c r="C158" s="43">
        <v>448.78</v>
      </c>
      <c r="D158" s="36">
        <f t="shared" si="1"/>
        <v>52331.59</v>
      </c>
      <c r="E158" s="37" t="s">
        <v>996</v>
      </c>
    </row>
    <row r="159">
      <c r="B159" s="59">
        <v>45653.0</v>
      </c>
      <c r="C159" s="43">
        <v>318.77</v>
      </c>
      <c r="D159" s="36">
        <f t="shared" si="1"/>
        <v>52650.36</v>
      </c>
      <c r="E159" s="37" t="s">
        <v>1003</v>
      </c>
    </row>
    <row r="160">
      <c r="B160" s="59">
        <v>45656.0</v>
      </c>
      <c r="C160" s="43">
        <v>435.72</v>
      </c>
      <c r="D160" s="36">
        <f t="shared" si="1"/>
        <v>53086.08</v>
      </c>
      <c r="E160" s="37" t="s">
        <v>1002</v>
      </c>
    </row>
    <row r="161">
      <c r="B161" s="59">
        <v>45659.0</v>
      </c>
      <c r="C161" s="43">
        <v>237.47</v>
      </c>
      <c r="D161" s="36">
        <f t="shared" si="1"/>
        <v>53323.55</v>
      </c>
      <c r="E161" s="37" t="s">
        <v>996</v>
      </c>
    </row>
    <row r="162">
      <c r="B162" s="59">
        <v>45663.0</v>
      </c>
      <c r="C162" s="43">
        <v>740.93</v>
      </c>
      <c r="D162" s="36">
        <f t="shared" si="1"/>
        <v>54064.48</v>
      </c>
      <c r="E162" s="37" t="s">
        <v>1001</v>
      </c>
    </row>
    <row r="163">
      <c r="B163" s="59">
        <v>45665.0</v>
      </c>
      <c r="C163" s="43">
        <v>253.13</v>
      </c>
      <c r="D163" s="36">
        <f t="shared" si="1"/>
        <v>54317.61</v>
      </c>
      <c r="E163" s="37" t="s">
        <v>996</v>
      </c>
    </row>
    <row r="164">
      <c r="B164" s="59">
        <v>45667.0</v>
      </c>
      <c r="C164" s="43">
        <v>321.25</v>
      </c>
      <c r="D164" s="36">
        <f t="shared" si="1"/>
        <v>54638.86</v>
      </c>
      <c r="E164" s="37" t="s">
        <v>996</v>
      </c>
    </row>
    <row r="165">
      <c r="B165" s="59">
        <v>45671.0</v>
      </c>
      <c r="C165" s="43">
        <v>387.04</v>
      </c>
      <c r="D165" s="36">
        <f t="shared" si="1"/>
        <v>55025.9</v>
      </c>
      <c r="E165" s="37" t="s">
        <v>996</v>
      </c>
    </row>
    <row r="166">
      <c r="B166" s="59">
        <v>45672.0</v>
      </c>
      <c r="C166" s="43">
        <v>403.22</v>
      </c>
      <c r="D166" s="36">
        <f t="shared" si="1"/>
        <v>55429.12</v>
      </c>
      <c r="E166" s="37" t="s">
        <v>1003</v>
      </c>
    </row>
    <row r="167">
      <c r="B167" s="59">
        <v>45674.0</v>
      </c>
      <c r="C167" s="43">
        <v>237.8</v>
      </c>
      <c r="D167" s="36">
        <f t="shared" si="1"/>
        <v>55666.92</v>
      </c>
      <c r="E167" s="37" t="s">
        <v>1004</v>
      </c>
    </row>
    <row r="168">
      <c r="B168" s="59">
        <v>45677.0</v>
      </c>
      <c r="C168" s="43">
        <v>200.46</v>
      </c>
      <c r="D168" s="36">
        <f t="shared" si="1"/>
        <v>55867.38</v>
      </c>
      <c r="E168" s="37" t="s">
        <v>998</v>
      </c>
    </row>
    <row r="169">
      <c r="B169" s="59">
        <v>45679.0</v>
      </c>
      <c r="C169" s="43">
        <v>389.58</v>
      </c>
      <c r="D169" s="36">
        <f t="shared" si="1"/>
        <v>56256.96</v>
      </c>
      <c r="E169" s="37" t="s">
        <v>996</v>
      </c>
    </row>
    <row r="170">
      <c r="B170" s="59">
        <v>45681.0</v>
      </c>
      <c r="C170" s="43">
        <v>153.46</v>
      </c>
      <c r="D170" s="36">
        <f t="shared" si="1"/>
        <v>56410.42</v>
      </c>
      <c r="E170" s="37" t="s">
        <v>998</v>
      </c>
    </row>
    <row r="171">
      <c r="B171" s="59">
        <v>45684.0</v>
      </c>
      <c r="C171" s="43">
        <v>315.84</v>
      </c>
      <c r="D171" s="36">
        <f t="shared" si="1"/>
        <v>56726.26</v>
      </c>
      <c r="E171" s="37" t="s">
        <v>1002</v>
      </c>
    </row>
    <row r="172">
      <c r="B172" s="59">
        <v>45686.0</v>
      </c>
      <c r="C172" s="43">
        <v>440.63</v>
      </c>
      <c r="D172" s="36">
        <f t="shared" si="1"/>
        <v>57166.89</v>
      </c>
      <c r="E172" s="37" t="s">
        <v>1002</v>
      </c>
    </row>
    <row r="173">
      <c r="B173" s="59">
        <v>45687.0</v>
      </c>
      <c r="C173" s="43">
        <v>97.35</v>
      </c>
      <c r="D173" s="36">
        <f t="shared" si="1"/>
        <v>57264.24</v>
      </c>
      <c r="E173" s="37" t="s">
        <v>1005</v>
      </c>
    </row>
    <row r="174">
      <c r="B174" s="59">
        <v>45691.0</v>
      </c>
      <c r="C174" s="43">
        <v>421.68</v>
      </c>
      <c r="D174" s="36">
        <f t="shared" si="1"/>
        <v>57685.92</v>
      </c>
      <c r="E174" s="37" t="s">
        <v>1002</v>
      </c>
    </row>
    <row r="175">
      <c r="B175" s="59">
        <v>45695.0</v>
      </c>
      <c r="C175" s="43">
        <v>388.75</v>
      </c>
      <c r="D175" s="36">
        <f t="shared" si="1"/>
        <v>58074.67</v>
      </c>
      <c r="E175" s="37" t="s">
        <v>1002</v>
      </c>
    </row>
    <row r="176">
      <c r="B176" s="59">
        <v>45698.0</v>
      </c>
      <c r="C176" s="43">
        <v>465.53</v>
      </c>
      <c r="D176" s="36">
        <f t="shared" si="1"/>
        <v>58540.2</v>
      </c>
      <c r="E176" s="37" t="s">
        <v>1002</v>
      </c>
    </row>
    <row r="177">
      <c r="B177" s="59">
        <v>45705.0</v>
      </c>
      <c r="C177" s="43">
        <v>609.35</v>
      </c>
      <c r="D177" s="36">
        <f t="shared" si="1"/>
        <v>59149.55</v>
      </c>
      <c r="E177" s="37" t="s">
        <v>1002</v>
      </c>
    </row>
    <row r="178">
      <c r="B178" s="59">
        <v>45707.0</v>
      </c>
      <c r="C178" s="43">
        <v>303.16</v>
      </c>
      <c r="D178" s="36">
        <f t="shared" si="1"/>
        <v>59452.71</v>
      </c>
      <c r="E178" s="37" t="s">
        <v>1003</v>
      </c>
    </row>
    <row r="179">
      <c r="B179" s="59">
        <v>45712.0</v>
      </c>
      <c r="C179" s="43">
        <v>248.72</v>
      </c>
      <c r="D179" s="36">
        <f t="shared" si="1"/>
        <v>59701.43</v>
      </c>
      <c r="E179" s="37" t="s">
        <v>998</v>
      </c>
    </row>
    <row r="180">
      <c r="B180" s="59">
        <v>45714.0</v>
      </c>
      <c r="C180" s="43">
        <v>318.51</v>
      </c>
      <c r="D180" s="36">
        <f t="shared" si="1"/>
        <v>60019.94</v>
      </c>
      <c r="E180" s="37" t="s">
        <v>1004</v>
      </c>
    </row>
    <row r="181">
      <c r="B181" s="59">
        <v>45722.0</v>
      </c>
      <c r="C181" s="43">
        <v>740.95</v>
      </c>
      <c r="D181" s="36">
        <f t="shared" si="1"/>
        <v>60760.89</v>
      </c>
      <c r="E181" s="37" t="s">
        <v>1001</v>
      </c>
    </row>
    <row r="182">
      <c r="B182" s="59">
        <v>45728.0</v>
      </c>
      <c r="C182" s="43">
        <v>327.23</v>
      </c>
      <c r="D182" s="36">
        <f t="shared" si="1"/>
        <v>61088.12</v>
      </c>
      <c r="E182" s="37" t="s">
        <v>1004</v>
      </c>
    </row>
    <row r="183">
      <c r="B183" s="59">
        <v>45735.0</v>
      </c>
      <c r="C183" s="43">
        <v>332.0</v>
      </c>
      <c r="D183" s="36">
        <f t="shared" si="1"/>
        <v>61420.12</v>
      </c>
      <c r="E183" s="37" t="s">
        <v>1004</v>
      </c>
    </row>
    <row r="184">
      <c r="B184" s="59">
        <v>45743.0</v>
      </c>
      <c r="C184" s="43">
        <v>465.01</v>
      </c>
      <c r="D184" s="36">
        <f t="shared" si="1"/>
        <v>61885.13</v>
      </c>
      <c r="E184" s="37" t="s">
        <v>1004</v>
      </c>
    </row>
    <row r="185">
      <c r="B185" s="59">
        <v>45754.0</v>
      </c>
      <c r="C185" s="43">
        <v>334.27</v>
      </c>
      <c r="D185" s="36">
        <f t="shared" si="1"/>
        <v>62219.4</v>
      </c>
      <c r="E185" s="37" t="s">
        <v>1004</v>
      </c>
    </row>
    <row r="186">
      <c r="B186" s="59">
        <v>45758.0</v>
      </c>
      <c r="C186" s="43">
        <v>172.1</v>
      </c>
      <c r="D186" s="36">
        <f t="shared" si="1"/>
        <v>62391.5</v>
      </c>
      <c r="E186" s="37" t="s">
        <v>1006</v>
      </c>
    </row>
    <row r="187">
      <c r="B187" s="59">
        <v>45769.0</v>
      </c>
      <c r="C187" s="43">
        <v>645.86</v>
      </c>
      <c r="D187" s="36">
        <f t="shared" si="1"/>
        <v>63037.36</v>
      </c>
      <c r="E187" s="37" t="s">
        <v>1001</v>
      </c>
    </row>
    <row r="188">
      <c r="B188" s="59">
        <v>45772.0</v>
      </c>
      <c r="C188" s="43">
        <v>80.0</v>
      </c>
      <c r="D188" s="36">
        <f t="shared" si="1"/>
        <v>63117.36</v>
      </c>
      <c r="E188" s="37" t="s">
        <v>1005</v>
      </c>
    </row>
    <row r="189">
      <c r="B189" s="59">
        <v>45782.0</v>
      </c>
      <c r="C189" s="43">
        <v>355.0</v>
      </c>
      <c r="D189" s="36">
        <f t="shared" si="1"/>
        <v>63472.36</v>
      </c>
      <c r="E189" s="37" t="s">
        <v>1004</v>
      </c>
    </row>
    <row r="190">
      <c r="B190" s="59">
        <v>45786.0</v>
      </c>
      <c r="C190" s="43">
        <v>315.02</v>
      </c>
      <c r="D190" s="36">
        <f t="shared" si="1"/>
        <v>63787.38</v>
      </c>
      <c r="E190" s="37" t="s">
        <v>1004</v>
      </c>
    </row>
    <row r="191">
      <c r="B191" s="59">
        <v>45789.0</v>
      </c>
      <c r="C191" s="43">
        <v>36.3</v>
      </c>
      <c r="D191" s="36">
        <f t="shared" si="1"/>
        <v>63823.68</v>
      </c>
      <c r="E191" s="37" t="s">
        <v>1005</v>
      </c>
    </row>
    <row r="192">
      <c r="B192" s="42">
        <v>45793.0</v>
      </c>
      <c r="C192" s="43">
        <v>358.78</v>
      </c>
      <c r="D192" s="36">
        <f t="shared" si="1"/>
        <v>64182.46</v>
      </c>
      <c r="E192" s="37" t="s">
        <v>1004</v>
      </c>
    </row>
    <row r="193">
      <c r="B193" s="42">
        <v>45797.0</v>
      </c>
      <c r="C193" s="43">
        <v>220.12</v>
      </c>
      <c r="D193" s="36">
        <f t="shared" si="1"/>
        <v>64402.58</v>
      </c>
      <c r="E193" s="37" t="s">
        <v>998</v>
      </c>
    </row>
    <row r="194">
      <c r="B194" s="42">
        <v>45800.0</v>
      </c>
      <c r="C194" s="43">
        <v>846.45</v>
      </c>
      <c r="D194" s="36">
        <f t="shared" si="1"/>
        <v>65249.03</v>
      </c>
      <c r="E194" s="37" t="s">
        <v>1007</v>
      </c>
    </row>
    <row r="195">
      <c r="B195" s="42">
        <v>45804.0</v>
      </c>
      <c r="C195" s="43">
        <v>216.23</v>
      </c>
      <c r="D195" s="36">
        <f t="shared" si="1"/>
        <v>65465.26</v>
      </c>
      <c r="E195" s="37" t="s">
        <v>1004</v>
      </c>
    </row>
    <row r="196">
      <c r="B196" s="42">
        <v>45807.0</v>
      </c>
      <c r="C196" s="43">
        <v>300.12</v>
      </c>
      <c r="D196" s="36">
        <f t="shared" si="1"/>
        <v>65765.38</v>
      </c>
      <c r="E196" s="37" t="s">
        <v>1004</v>
      </c>
    </row>
    <row r="197">
      <c r="B197" s="42">
        <v>45811.0</v>
      </c>
      <c r="C197" s="43">
        <v>285.36</v>
      </c>
      <c r="D197" s="36">
        <f t="shared" si="1"/>
        <v>66050.74</v>
      </c>
      <c r="E197" s="37" t="s">
        <v>1004</v>
      </c>
    </row>
    <row r="198">
      <c r="B198" s="42">
        <v>45814.0</v>
      </c>
      <c r="C198" s="43">
        <v>312.56</v>
      </c>
      <c r="D198" s="36">
        <f t="shared" si="1"/>
        <v>66363.3</v>
      </c>
      <c r="E198" s="37" t="s">
        <v>1004</v>
      </c>
    </row>
    <row r="199">
      <c r="B199" s="42">
        <v>45819.0</v>
      </c>
      <c r="C199" s="43">
        <v>289.85</v>
      </c>
      <c r="D199" s="36">
        <f t="shared" si="1"/>
        <v>66653.15</v>
      </c>
      <c r="E199" s="37" t="s">
        <v>1004</v>
      </c>
    </row>
    <row r="200">
      <c r="B200" s="42">
        <v>45826.0</v>
      </c>
      <c r="C200" s="43">
        <v>384.34</v>
      </c>
      <c r="D200" s="36">
        <f t="shared" si="1"/>
        <v>67037.49</v>
      </c>
      <c r="E200" s="37" t="s">
        <v>1004</v>
      </c>
    </row>
    <row r="201">
      <c r="B201" s="42">
        <v>45831.0</v>
      </c>
      <c r="C201" s="43">
        <v>638.19</v>
      </c>
      <c r="D201" s="36">
        <f t="shared" si="1"/>
        <v>67675.68</v>
      </c>
      <c r="E201" s="37" t="s">
        <v>1002</v>
      </c>
    </row>
    <row r="202">
      <c r="B202" s="42">
        <v>45834.0</v>
      </c>
      <c r="C202" s="43">
        <v>292.15</v>
      </c>
      <c r="D202" s="36">
        <f t="shared" si="1"/>
        <v>67967.83</v>
      </c>
      <c r="E202" s="37" t="s">
        <v>1004</v>
      </c>
    </row>
    <row r="203">
      <c r="B203" s="42">
        <v>45838.0</v>
      </c>
      <c r="C203" s="43">
        <v>458.71</v>
      </c>
      <c r="D203" s="36">
        <f t="shared" si="1"/>
        <v>68426.54</v>
      </c>
      <c r="E203" s="37" t="s">
        <v>996</v>
      </c>
    </row>
    <row r="204">
      <c r="B204" s="42">
        <v>45841.0</v>
      </c>
      <c r="C204" s="43">
        <v>468.8</v>
      </c>
      <c r="D204" s="36">
        <f t="shared" si="1"/>
        <v>68895.34</v>
      </c>
      <c r="E204" s="37" t="s">
        <v>1004</v>
      </c>
    </row>
    <row r="205">
      <c r="B205" s="42">
        <v>45847.0</v>
      </c>
      <c r="C205" s="43">
        <v>434.72</v>
      </c>
      <c r="D205" s="36">
        <f t="shared" si="1"/>
        <v>69330.06</v>
      </c>
      <c r="E205" s="37" t="s">
        <v>996</v>
      </c>
    </row>
    <row r="206">
      <c r="B206" s="42">
        <v>45849.0</v>
      </c>
      <c r="C206" s="43">
        <v>273.46</v>
      </c>
      <c r="D206" s="36">
        <f t="shared" si="1"/>
        <v>69603.52</v>
      </c>
      <c r="E206" s="37" t="s">
        <v>1006</v>
      </c>
    </row>
    <row r="207">
      <c r="B207" s="42">
        <v>45853.0</v>
      </c>
      <c r="C207" s="43">
        <v>293.06</v>
      </c>
      <c r="D207" s="36">
        <f t="shared" si="1"/>
        <v>69896.58</v>
      </c>
      <c r="E207" s="37" t="s">
        <v>1006</v>
      </c>
    </row>
    <row r="208">
      <c r="B208" s="42">
        <v>45856.0</v>
      </c>
      <c r="C208" s="43">
        <v>551.84</v>
      </c>
      <c r="D208" s="36">
        <f t="shared" si="1"/>
        <v>70448.42</v>
      </c>
      <c r="E208" s="37" t="s">
        <v>1004</v>
      </c>
    </row>
    <row r="209">
      <c r="B209" s="42">
        <v>45859.0</v>
      </c>
      <c r="C209" s="43">
        <v>659.45</v>
      </c>
      <c r="D209" s="36">
        <f t="shared" si="1"/>
        <v>71107.87</v>
      </c>
      <c r="E209" s="37" t="s">
        <v>996</v>
      </c>
    </row>
    <row r="210">
      <c r="B210" s="42">
        <v>45867.0</v>
      </c>
      <c r="C210" s="43">
        <v>322.55</v>
      </c>
      <c r="D210" s="36">
        <f t="shared" si="1"/>
        <v>71430.42</v>
      </c>
      <c r="E210" s="37" t="s">
        <v>998</v>
      </c>
    </row>
    <row r="211">
      <c r="B211" s="42">
        <v>45870.0</v>
      </c>
      <c r="C211" s="43">
        <v>310.26</v>
      </c>
      <c r="D211" s="36">
        <f t="shared" si="1"/>
        <v>71740.68</v>
      </c>
      <c r="E211" s="37" t="s">
        <v>998</v>
      </c>
    </row>
    <row r="212">
      <c r="B212" s="42">
        <v>45873.0</v>
      </c>
      <c r="C212" s="43">
        <v>415.61</v>
      </c>
      <c r="D212" s="36">
        <f t="shared" si="1"/>
        <v>72156.29</v>
      </c>
      <c r="E212" s="37" t="s">
        <v>1004</v>
      </c>
    </row>
    <row r="213">
      <c r="B213" s="42">
        <v>45881.0</v>
      </c>
      <c r="C213" s="43">
        <v>390.22</v>
      </c>
      <c r="D213" s="36">
        <f t="shared" si="1"/>
        <v>72546.51</v>
      </c>
      <c r="E213" s="37" t="s">
        <v>998</v>
      </c>
    </row>
    <row r="214">
      <c r="B214" s="42">
        <v>45884.0</v>
      </c>
      <c r="C214" s="43">
        <v>750.76</v>
      </c>
      <c r="D214" s="36">
        <f t="shared" si="1"/>
        <v>73297.27</v>
      </c>
      <c r="E214" s="37" t="s">
        <v>996</v>
      </c>
    </row>
    <row r="215">
      <c r="B215" s="42">
        <v>45888.0</v>
      </c>
      <c r="C215" s="43">
        <v>395.71</v>
      </c>
      <c r="D215" s="36">
        <f t="shared" si="1"/>
        <v>73692.98</v>
      </c>
      <c r="E215" s="37" t="s">
        <v>998</v>
      </c>
    </row>
    <row r="216">
      <c r="B216" s="42">
        <v>45891.0</v>
      </c>
      <c r="C216" s="43">
        <v>329.11</v>
      </c>
      <c r="D216" s="36">
        <f t="shared" si="1"/>
        <v>74022.09</v>
      </c>
      <c r="E216" s="37" t="s">
        <v>1005</v>
      </c>
    </row>
    <row r="217">
      <c r="B217" s="42">
        <v>45895.0</v>
      </c>
      <c r="C217" s="43">
        <v>463.9</v>
      </c>
      <c r="D217" s="36">
        <f t="shared" si="1"/>
        <v>74485.99</v>
      </c>
      <c r="E217" s="37" t="s">
        <v>1004</v>
      </c>
    </row>
    <row r="218">
      <c r="B218" s="42">
        <v>45898.0</v>
      </c>
      <c r="C218" s="43">
        <v>260.3</v>
      </c>
      <c r="D218" s="36">
        <f t="shared" si="1"/>
        <v>74746.29</v>
      </c>
      <c r="E218" s="37" t="s">
        <v>1006</v>
      </c>
    </row>
    <row r="219">
      <c r="B219" s="42">
        <v>45901.0</v>
      </c>
      <c r="C219" s="43">
        <v>215.06</v>
      </c>
      <c r="D219" s="36">
        <f t="shared" si="1"/>
        <v>74961.35</v>
      </c>
      <c r="E219" s="37" t="s">
        <v>998</v>
      </c>
    </row>
    <row r="220">
      <c r="B220" s="42">
        <v>45903.0</v>
      </c>
      <c r="C220" s="43">
        <v>202.9</v>
      </c>
      <c r="D220" s="36">
        <f t="shared" si="1"/>
        <v>75164.25</v>
      </c>
      <c r="E220" s="37" t="s">
        <v>1006</v>
      </c>
    </row>
    <row r="221">
      <c r="B221" s="42">
        <v>45909.0</v>
      </c>
      <c r="C221" s="43">
        <v>331.5</v>
      </c>
      <c r="D221" s="36">
        <f t="shared" si="1"/>
        <v>75495.75</v>
      </c>
      <c r="E221" s="37" t="s">
        <v>1006</v>
      </c>
    </row>
    <row r="222">
      <c r="B222" s="42">
        <v>45912.0</v>
      </c>
      <c r="C222" s="43">
        <v>188.5</v>
      </c>
      <c r="D222" s="36">
        <f t="shared" si="1"/>
        <v>75684.25</v>
      </c>
      <c r="E222" s="37" t="s">
        <v>1008</v>
      </c>
    </row>
    <row r="223">
      <c r="B223" s="42">
        <v>45916.0</v>
      </c>
      <c r="C223" s="43">
        <v>465.3</v>
      </c>
      <c r="D223" s="36">
        <f t="shared" si="1"/>
        <v>76149.55</v>
      </c>
      <c r="E223" s="37" t="s">
        <v>1004</v>
      </c>
    </row>
    <row r="224">
      <c r="B224" s="42">
        <v>45919.0</v>
      </c>
      <c r="C224" s="43">
        <v>304.61</v>
      </c>
      <c r="D224" s="36">
        <f t="shared" si="1"/>
        <v>76454.16</v>
      </c>
      <c r="E224" s="37" t="s">
        <v>1004</v>
      </c>
    </row>
    <row r="225">
      <c r="B225" s="42">
        <v>45922.0</v>
      </c>
      <c r="C225" s="43">
        <v>288.0</v>
      </c>
      <c r="D225" s="36">
        <f t="shared" si="1"/>
        <v>76742.16</v>
      </c>
      <c r="E225" s="37" t="s">
        <v>1006</v>
      </c>
    </row>
    <row r="226">
      <c r="B226" s="42">
        <v>45926.0</v>
      </c>
      <c r="C226" s="43">
        <v>380.0</v>
      </c>
      <c r="D226" s="36">
        <f t="shared" si="1"/>
        <v>77122.16</v>
      </c>
      <c r="E226" s="37" t="s">
        <v>1006</v>
      </c>
    </row>
    <row r="227">
      <c r="B227" s="42">
        <v>45930.0</v>
      </c>
      <c r="C227" s="43">
        <v>812.53</v>
      </c>
      <c r="D227" s="36">
        <f t="shared" si="1"/>
        <v>77934.69</v>
      </c>
      <c r="E227" s="37" t="s">
        <v>1001</v>
      </c>
    </row>
    <row r="228">
      <c r="B228" s="42">
        <v>45933.0</v>
      </c>
      <c r="C228" s="43">
        <v>577.26</v>
      </c>
      <c r="D228" s="36">
        <f t="shared" si="1"/>
        <v>78511.95</v>
      </c>
      <c r="E228" s="37" t="s">
        <v>996</v>
      </c>
    </row>
    <row r="229">
      <c r="B229" s="42">
        <v>45936.0</v>
      </c>
      <c r="C229" s="43">
        <v>828.15</v>
      </c>
      <c r="D229" s="36">
        <f t="shared" si="1"/>
        <v>79340.1</v>
      </c>
      <c r="E229" s="37" t="s">
        <v>1001</v>
      </c>
    </row>
    <row r="230">
      <c r="B230" s="42">
        <v>45940.0</v>
      </c>
      <c r="C230" s="43">
        <v>448.95</v>
      </c>
      <c r="D230" s="36">
        <f t="shared" si="1"/>
        <v>79789.05</v>
      </c>
      <c r="E230" s="37" t="s">
        <v>998</v>
      </c>
    </row>
    <row r="231">
      <c r="B231" s="42">
        <v>45950.0</v>
      </c>
      <c r="C231" s="43">
        <v>852.66</v>
      </c>
      <c r="D231" s="36">
        <f t="shared" si="1"/>
        <v>80641.71</v>
      </c>
      <c r="E231" s="37" t="s">
        <v>999</v>
      </c>
    </row>
    <row r="232">
      <c r="B232" s="42">
        <v>45952.0</v>
      </c>
      <c r="C232" s="43">
        <v>243.7</v>
      </c>
      <c r="D232" s="36">
        <f t="shared" si="1"/>
        <v>80885.41</v>
      </c>
      <c r="E232" s="37" t="s">
        <v>1009</v>
      </c>
    </row>
    <row r="233">
      <c r="B233" s="42">
        <v>45954.0</v>
      </c>
      <c r="C233" s="43">
        <v>240.86</v>
      </c>
      <c r="D233" s="36">
        <f t="shared" si="1"/>
        <v>81126.27</v>
      </c>
      <c r="E233" s="37" t="s">
        <v>1010</v>
      </c>
    </row>
    <row r="234">
      <c r="B234" s="42">
        <v>45964.0</v>
      </c>
      <c r="C234" s="43">
        <v>896.33</v>
      </c>
      <c r="D234" s="36">
        <f t="shared" si="1"/>
        <v>82022.6</v>
      </c>
      <c r="E234" s="37" t="s">
        <v>999</v>
      </c>
      <c r="F234" s="14"/>
    </row>
    <row r="235">
      <c r="B235" s="42">
        <v>45968.0</v>
      </c>
      <c r="C235" s="43">
        <v>432.2</v>
      </c>
      <c r="D235" s="36">
        <f t="shared" si="1"/>
        <v>82454.8</v>
      </c>
      <c r="E235" s="37" t="s">
        <v>996</v>
      </c>
      <c r="F235" s="14"/>
    </row>
    <row r="236">
      <c r="B236" s="42">
        <v>45973.0</v>
      </c>
      <c r="C236" s="43">
        <v>783.32</v>
      </c>
      <c r="D236" s="36">
        <f t="shared" si="1"/>
        <v>83238.12</v>
      </c>
      <c r="E236" s="37" t="s">
        <v>999</v>
      </c>
      <c r="F236" s="94"/>
      <c r="G236" s="94"/>
      <c r="H236" s="94"/>
    </row>
    <row r="237">
      <c r="B237" s="42">
        <v>45975.0</v>
      </c>
      <c r="C237" s="43">
        <v>601.26</v>
      </c>
      <c r="D237" s="36">
        <f t="shared" si="1"/>
        <v>83839.38</v>
      </c>
      <c r="E237" s="37" t="s">
        <v>1002</v>
      </c>
      <c r="F237" s="14"/>
    </row>
    <row r="238">
      <c r="B238" s="42">
        <v>45978.0</v>
      </c>
      <c r="C238" s="43">
        <v>427.3</v>
      </c>
      <c r="D238" s="36">
        <f t="shared" si="1"/>
        <v>84266.68</v>
      </c>
      <c r="E238" s="37" t="s">
        <v>996</v>
      </c>
      <c r="F238" s="14"/>
    </row>
    <row r="239">
      <c r="B239" s="42">
        <v>45995.0</v>
      </c>
      <c r="C239" s="43">
        <v>879.52</v>
      </c>
      <c r="D239" s="36">
        <f t="shared" si="1"/>
        <v>85146.2</v>
      </c>
      <c r="E239" s="37" t="s">
        <v>999</v>
      </c>
      <c r="F239" s="14"/>
    </row>
    <row r="240">
      <c r="B240" s="42">
        <v>46000.0</v>
      </c>
      <c r="C240" s="43">
        <v>625.0</v>
      </c>
      <c r="D240" s="36">
        <f t="shared" si="1"/>
        <v>85771.2</v>
      </c>
      <c r="E240" s="37" t="s">
        <v>996</v>
      </c>
    </row>
    <row r="241">
      <c r="B241" s="42">
        <v>46003.0</v>
      </c>
      <c r="C241" s="43">
        <v>675.23</v>
      </c>
      <c r="D241" s="36">
        <f t="shared" si="1"/>
        <v>86446.43</v>
      </c>
      <c r="E241" s="37" t="s">
        <v>998</v>
      </c>
    </row>
    <row r="242">
      <c r="B242" s="42">
        <v>46006.0</v>
      </c>
      <c r="C242" s="43">
        <v>309.33</v>
      </c>
      <c r="D242" s="36">
        <f t="shared" si="1"/>
        <v>86755.76</v>
      </c>
      <c r="E242" s="37" t="s">
        <v>996</v>
      </c>
    </row>
    <row r="243">
      <c r="B243" s="42">
        <v>46009.0</v>
      </c>
      <c r="C243" s="43">
        <v>478.8</v>
      </c>
      <c r="D243" s="36">
        <f t="shared" si="1"/>
        <v>87234.56</v>
      </c>
      <c r="E243" s="37" t="s">
        <v>996</v>
      </c>
    </row>
    <row r="244">
      <c r="B244" s="42">
        <v>46014.0</v>
      </c>
      <c r="C244" s="43">
        <v>388.2</v>
      </c>
      <c r="D244" s="36">
        <f t="shared" si="1"/>
        <v>87622.76</v>
      </c>
      <c r="E244" s="37" t="s">
        <v>1003</v>
      </c>
    </row>
    <row r="245">
      <c r="B245" s="42">
        <v>46021.0</v>
      </c>
      <c r="C245" s="43">
        <v>52.69</v>
      </c>
      <c r="D245" s="36">
        <f t="shared" si="1"/>
        <v>87675.45</v>
      </c>
      <c r="E245" s="37" t="s">
        <v>1011</v>
      </c>
    </row>
    <row r="246">
      <c r="B246" s="42">
        <v>46028.0</v>
      </c>
      <c r="C246" s="43">
        <v>199.48</v>
      </c>
      <c r="D246" s="36">
        <f t="shared" si="1"/>
        <v>87874.93</v>
      </c>
      <c r="E246" s="37" t="s">
        <v>998</v>
      </c>
    </row>
    <row r="247">
      <c r="B247" s="42">
        <v>46031.0</v>
      </c>
      <c r="C247" s="43">
        <v>112.35</v>
      </c>
      <c r="D247" s="36">
        <f t="shared" si="1"/>
        <v>87987.28</v>
      </c>
      <c r="E247" s="37" t="s">
        <v>1005</v>
      </c>
    </row>
    <row r="248">
      <c r="B248" s="42">
        <v>46037.0</v>
      </c>
      <c r="C248" s="43">
        <v>46.45</v>
      </c>
      <c r="D248" s="36">
        <f t="shared" si="1"/>
        <v>88033.73</v>
      </c>
      <c r="E248" s="37" t="s">
        <v>1008</v>
      </c>
    </row>
    <row r="249">
      <c r="B249" s="42">
        <v>46038.0</v>
      </c>
      <c r="C249" s="43">
        <v>68.36</v>
      </c>
      <c r="D249" s="36">
        <f t="shared" si="1"/>
        <v>88102.09</v>
      </c>
      <c r="E249" s="37" t="s">
        <v>1008</v>
      </c>
    </row>
    <row r="250">
      <c r="B250" s="42">
        <v>46041.0</v>
      </c>
      <c r="C250" s="43">
        <v>517.19</v>
      </c>
      <c r="D250" s="36">
        <f t="shared" si="1"/>
        <v>88619.28</v>
      </c>
      <c r="E250" s="37" t="s">
        <v>998</v>
      </c>
    </row>
    <row r="251">
      <c r="B251" s="42">
        <v>46043.0</v>
      </c>
      <c r="C251" s="43">
        <v>295.35</v>
      </c>
      <c r="D251" s="36">
        <f t="shared" si="1"/>
        <v>88914.63</v>
      </c>
      <c r="E251" s="37" t="s">
        <v>1006</v>
      </c>
    </row>
    <row r="252">
      <c r="B252" s="42">
        <v>46044.0</v>
      </c>
      <c r="C252" s="43">
        <v>167.1</v>
      </c>
      <c r="D252" s="36">
        <f t="shared" si="1"/>
        <v>89081.73</v>
      </c>
      <c r="E252" s="37" t="s">
        <v>1008</v>
      </c>
    </row>
    <row r="253">
      <c r="B253" s="42">
        <v>46045.0</v>
      </c>
      <c r="C253" s="43">
        <v>86.32</v>
      </c>
      <c r="D253" s="36">
        <f t="shared" si="1"/>
        <v>89168.05</v>
      </c>
      <c r="E253" s="37" t="s">
        <v>1008</v>
      </c>
    </row>
    <row r="254">
      <c r="B254" s="42">
        <v>46048.0</v>
      </c>
      <c r="C254" s="43">
        <v>275.35</v>
      </c>
      <c r="D254" s="36">
        <f t="shared" si="1"/>
        <v>89443.4</v>
      </c>
      <c r="E254" s="37" t="s">
        <v>1005</v>
      </c>
    </row>
    <row r="255">
      <c r="B255" s="42">
        <v>46049.0</v>
      </c>
      <c r="C255" s="43">
        <v>246.19</v>
      </c>
      <c r="D255" s="36">
        <f t="shared" si="1"/>
        <v>89689.59</v>
      </c>
      <c r="E255" s="37" t="s">
        <v>1005</v>
      </c>
    </row>
    <row r="256">
      <c r="B256" s="42">
        <v>46050.0</v>
      </c>
      <c r="C256" s="43">
        <v>246.44</v>
      </c>
      <c r="D256" s="36">
        <f t="shared" si="1"/>
        <v>89936.03</v>
      </c>
      <c r="E256" s="37" t="s">
        <v>1005</v>
      </c>
    </row>
    <row r="257">
      <c r="B257" s="42">
        <v>46051.0</v>
      </c>
      <c r="C257" s="43">
        <v>197.65</v>
      </c>
      <c r="D257" s="36">
        <f t="shared" si="1"/>
        <v>90133.68</v>
      </c>
      <c r="E257" s="37" t="s">
        <v>1005</v>
      </c>
    </row>
    <row r="258">
      <c r="B258" s="42">
        <v>46052.0</v>
      </c>
      <c r="C258" s="43">
        <v>261.68</v>
      </c>
      <c r="D258" s="36">
        <f t="shared" si="1"/>
        <v>90395.36</v>
      </c>
      <c r="E258" s="37" t="s">
        <v>1006</v>
      </c>
    </row>
    <row r="259">
      <c r="B259" s="42">
        <v>46055.0</v>
      </c>
      <c r="C259" s="43">
        <v>407.9</v>
      </c>
      <c r="D259" s="36">
        <f t="shared" si="1"/>
        <v>90803.26</v>
      </c>
      <c r="E259" s="37" t="s">
        <v>1004</v>
      </c>
    </row>
    <row r="260">
      <c r="B260" s="42">
        <v>46056.0</v>
      </c>
      <c r="C260" s="43">
        <v>107.13</v>
      </c>
      <c r="D260" s="36">
        <f t="shared" si="1"/>
        <v>90910.39</v>
      </c>
      <c r="E260" s="37" t="s">
        <v>1005</v>
      </c>
    </row>
    <row r="261">
      <c r="B261" s="42">
        <v>46057.0</v>
      </c>
      <c r="C261" s="43">
        <v>108.14</v>
      </c>
      <c r="D261" s="36">
        <f t="shared" si="1"/>
        <v>91018.53</v>
      </c>
      <c r="E261" s="37" t="s">
        <v>1011</v>
      </c>
    </row>
    <row r="262">
      <c r="B262" s="42">
        <v>46058.0</v>
      </c>
      <c r="C262" s="43">
        <v>106.3</v>
      </c>
      <c r="D262" s="36">
        <f t="shared" si="1"/>
        <v>91124.83</v>
      </c>
      <c r="E262" s="37" t="s">
        <v>1005</v>
      </c>
    </row>
    <row r="263">
      <c r="B263" s="42">
        <v>46059.0</v>
      </c>
      <c r="C263" s="43">
        <v>165.47</v>
      </c>
      <c r="D263" s="36">
        <f t="shared" si="1"/>
        <v>91290.3</v>
      </c>
      <c r="E263" s="37" t="s">
        <v>1005</v>
      </c>
    </row>
    <row r="264">
      <c r="B264" s="42">
        <v>46062.0</v>
      </c>
      <c r="C264" s="43">
        <v>465.25</v>
      </c>
      <c r="D264" s="36">
        <f t="shared" si="1"/>
        <v>91755.55</v>
      </c>
      <c r="E264" s="37" t="s">
        <v>1004</v>
      </c>
    </row>
    <row r="265">
      <c r="B265" s="42">
        <v>46063.0</v>
      </c>
      <c r="C265" s="43">
        <v>121.18</v>
      </c>
      <c r="D265" s="36">
        <f t="shared" si="1"/>
        <v>91876.73</v>
      </c>
      <c r="E265" s="37" t="s">
        <v>1006</v>
      </c>
    </row>
    <row r="266">
      <c r="B266" s="42">
        <v>46065.0</v>
      </c>
      <c r="C266" s="43">
        <v>358.52</v>
      </c>
      <c r="D266" s="36">
        <f t="shared" si="1"/>
        <v>92235.25</v>
      </c>
      <c r="E266" s="37" t="s">
        <v>1002</v>
      </c>
    </row>
    <row r="267">
      <c r="B267" s="42">
        <v>46066.0</v>
      </c>
      <c r="C267" s="43">
        <v>174.35</v>
      </c>
      <c r="D267" s="36">
        <f t="shared" si="1"/>
        <v>92409.6</v>
      </c>
      <c r="E267" s="37" t="s">
        <v>998</v>
      </c>
    </row>
    <row r="268">
      <c r="B268" s="42">
        <v>46069.0</v>
      </c>
      <c r="C268" s="43">
        <v>380.75</v>
      </c>
      <c r="D268" s="36">
        <f t="shared" si="1"/>
        <v>92790.35</v>
      </c>
      <c r="E268" s="37" t="s">
        <v>1002</v>
      </c>
    </row>
    <row r="269">
      <c r="B269" s="42">
        <v>46071.0</v>
      </c>
      <c r="C269" s="43">
        <v>209.02</v>
      </c>
      <c r="D269" s="36">
        <f t="shared" si="1"/>
        <v>92999.37</v>
      </c>
      <c r="E269" s="37" t="s">
        <v>998</v>
      </c>
    </row>
    <row r="270">
      <c r="B270" s="42">
        <v>46072.0</v>
      </c>
      <c r="C270" s="43">
        <v>203.41</v>
      </c>
      <c r="D270" s="36">
        <f t="shared" si="1"/>
        <v>93202.78</v>
      </c>
      <c r="E270" s="37" t="s">
        <v>998</v>
      </c>
    </row>
    <row r="271">
      <c r="B271" s="42">
        <v>46073.0</v>
      </c>
      <c r="C271" s="43">
        <v>293.77</v>
      </c>
      <c r="D271" s="36">
        <f t="shared" si="1"/>
        <v>93496.55</v>
      </c>
      <c r="E271" s="37" t="s">
        <v>996</v>
      </c>
    </row>
    <row r="272">
      <c r="B272" s="42">
        <v>46076.0</v>
      </c>
      <c r="C272" s="43">
        <v>458.2</v>
      </c>
      <c r="D272" s="36">
        <f t="shared" si="1"/>
        <v>93954.75</v>
      </c>
      <c r="E272" s="37" t="s">
        <v>1002</v>
      </c>
    </row>
    <row r="273">
      <c r="B273" s="42">
        <v>46077.0</v>
      </c>
      <c r="C273" s="43">
        <v>133.48</v>
      </c>
      <c r="D273" s="36">
        <f t="shared" si="1"/>
        <v>94088.23</v>
      </c>
      <c r="E273" s="37" t="s">
        <v>1005</v>
      </c>
    </row>
    <row r="274">
      <c r="B274" s="42">
        <v>46078.0</v>
      </c>
      <c r="C274" s="43">
        <v>119.95</v>
      </c>
      <c r="D274" s="36">
        <f t="shared" si="1"/>
        <v>94208.18</v>
      </c>
      <c r="E274" s="37" t="s">
        <v>1008</v>
      </c>
    </row>
    <row r="275">
      <c r="B275" s="42">
        <v>46079.0</v>
      </c>
      <c r="C275" s="43">
        <v>158.95</v>
      </c>
      <c r="D275" s="36">
        <f t="shared" si="1"/>
        <v>94367.13</v>
      </c>
      <c r="E275" s="37" t="s">
        <v>1005</v>
      </c>
    </row>
    <row r="276">
      <c r="B276" s="42">
        <v>46080.0</v>
      </c>
      <c r="C276" s="43">
        <v>143.4</v>
      </c>
      <c r="D276" s="36">
        <f t="shared" si="1"/>
        <v>94510.53</v>
      </c>
      <c r="E276" s="37" t="s">
        <v>1005</v>
      </c>
    </row>
    <row r="277">
      <c r="B277" s="42">
        <v>46083.0</v>
      </c>
      <c r="C277" s="43">
        <v>483.49</v>
      </c>
      <c r="D277" s="36">
        <f t="shared" si="1"/>
        <v>94994.02</v>
      </c>
      <c r="E277" s="37" t="s">
        <v>996</v>
      </c>
    </row>
    <row r="278">
      <c r="B278" s="42">
        <v>46084.0</v>
      </c>
      <c r="C278" s="43">
        <v>116.19</v>
      </c>
      <c r="D278" s="36">
        <f t="shared" si="1"/>
        <v>95110.21</v>
      </c>
      <c r="E278" s="37" t="s">
        <v>1005</v>
      </c>
    </row>
    <row r="279">
      <c r="B279" s="42">
        <v>46085.0</v>
      </c>
      <c r="C279" s="43">
        <v>117.36</v>
      </c>
      <c r="D279" s="36">
        <f t="shared" si="1"/>
        <v>95227.57</v>
      </c>
      <c r="E279" s="37" t="s">
        <v>1005</v>
      </c>
    </row>
    <row r="280">
      <c r="B280" s="42">
        <v>46086.0</v>
      </c>
      <c r="C280" s="43">
        <v>124.9</v>
      </c>
      <c r="D280" s="36">
        <f t="shared" si="1"/>
        <v>95352.47</v>
      </c>
      <c r="E280" s="37" t="s">
        <v>1005</v>
      </c>
    </row>
    <row r="281">
      <c r="B281" s="42">
        <v>46090.0</v>
      </c>
      <c r="C281" s="43">
        <v>603.04</v>
      </c>
      <c r="D281" s="36">
        <f t="shared" si="1"/>
        <v>95955.51</v>
      </c>
      <c r="E281" s="37" t="s">
        <v>1003</v>
      </c>
    </row>
    <row r="282">
      <c r="B282" s="42">
        <v>46091.0</v>
      </c>
      <c r="C282" s="43">
        <v>143.42</v>
      </c>
      <c r="D282" s="36">
        <f t="shared" si="1"/>
        <v>96098.93</v>
      </c>
      <c r="E282" s="37" t="s">
        <v>996</v>
      </c>
    </row>
    <row r="283">
      <c r="B283" s="42">
        <v>46092.0</v>
      </c>
      <c r="C283" s="43">
        <v>133.75</v>
      </c>
      <c r="D283" s="36">
        <f t="shared" si="1"/>
        <v>96232.68</v>
      </c>
      <c r="E283" s="37" t="s">
        <v>1003</v>
      </c>
    </row>
    <row r="284">
      <c r="B284" s="42">
        <v>46093.0</v>
      </c>
      <c r="C284" s="43">
        <v>168.05</v>
      </c>
      <c r="D284" s="36">
        <f t="shared" si="1"/>
        <v>96400.73</v>
      </c>
      <c r="E284" s="37" t="s">
        <v>1002</v>
      </c>
    </row>
    <row r="285">
      <c r="B285" s="42">
        <v>46094.0</v>
      </c>
      <c r="C285" s="43">
        <v>98.9</v>
      </c>
      <c r="D285" s="36">
        <f t="shared" si="1"/>
        <v>96499.63</v>
      </c>
      <c r="E285" s="37" t="s">
        <v>1008</v>
      </c>
    </row>
    <row r="286">
      <c r="B286" s="42">
        <v>46097.0</v>
      </c>
      <c r="C286" s="43">
        <v>308.7</v>
      </c>
      <c r="D286" s="36">
        <f t="shared" si="1"/>
        <v>96808.33</v>
      </c>
      <c r="E286" s="37" t="s">
        <v>998</v>
      </c>
    </row>
    <row r="287">
      <c r="B287" s="42">
        <v>46098.0</v>
      </c>
      <c r="C287" s="43">
        <v>151.8</v>
      </c>
      <c r="D287" s="36">
        <f t="shared" si="1"/>
        <v>96960.13</v>
      </c>
      <c r="E287" s="37" t="s">
        <v>1005</v>
      </c>
    </row>
    <row r="288">
      <c r="B288" s="42">
        <v>46099.0</v>
      </c>
      <c r="C288" s="43">
        <v>171.16</v>
      </c>
      <c r="D288" s="36">
        <f t="shared" si="1"/>
        <v>97131.29</v>
      </c>
      <c r="E288" s="37" t="s">
        <v>1005</v>
      </c>
    </row>
    <row r="289">
      <c r="B289" s="42">
        <v>46100.0</v>
      </c>
      <c r="C289" s="43">
        <v>108.2</v>
      </c>
      <c r="D289" s="36">
        <f t="shared" si="1"/>
        <v>97239.49</v>
      </c>
      <c r="E289" s="37" t="s">
        <v>1005</v>
      </c>
    </row>
    <row r="290">
      <c r="B290" s="42">
        <v>46101.0</v>
      </c>
      <c r="C290" s="43">
        <v>36.25</v>
      </c>
      <c r="D290" s="36">
        <f t="shared" si="1"/>
        <v>97275.74</v>
      </c>
      <c r="E290" s="37" t="s">
        <v>1005</v>
      </c>
    </row>
    <row r="291">
      <c r="B291" s="42">
        <v>46104.0</v>
      </c>
      <c r="C291" s="43">
        <v>437.58</v>
      </c>
      <c r="D291" s="36">
        <f t="shared" si="1"/>
        <v>97713.32</v>
      </c>
      <c r="E291" s="37" t="s">
        <v>998</v>
      </c>
    </row>
    <row r="292">
      <c r="B292" s="42">
        <v>46105.0</v>
      </c>
      <c r="C292" s="43">
        <v>140.45</v>
      </c>
      <c r="D292" s="36">
        <f t="shared" si="1"/>
        <v>97853.77</v>
      </c>
      <c r="E292" s="37" t="s">
        <v>1005</v>
      </c>
    </row>
    <row r="293">
      <c r="B293" s="42">
        <v>46106.0</v>
      </c>
      <c r="C293" s="43">
        <v>306.53</v>
      </c>
      <c r="D293" s="36">
        <f t="shared" si="1"/>
        <v>98160.3</v>
      </c>
      <c r="E293" s="37" t="s">
        <v>998</v>
      </c>
    </row>
    <row r="294">
      <c r="B294" s="42">
        <v>46107.0</v>
      </c>
      <c r="C294" s="43">
        <v>209.63</v>
      </c>
      <c r="D294" s="36">
        <f t="shared" si="1"/>
        <v>98369.93</v>
      </c>
      <c r="E294" s="37" t="s">
        <v>998</v>
      </c>
    </row>
    <row r="295">
      <c r="B295" s="42">
        <v>46108.0</v>
      </c>
      <c r="C295" s="43">
        <v>165.32</v>
      </c>
      <c r="D295" s="36">
        <f t="shared" si="1"/>
        <v>98535.25</v>
      </c>
      <c r="E295" s="37" t="s">
        <v>1005</v>
      </c>
    </row>
    <row r="296">
      <c r="B296" s="42">
        <v>46111.0</v>
      </c>
      <c r="C296" s="43">
        <v>360.47</v>
      </c>
      <c r="D296" s="36">
        <f t="shared" si="1"/>
        <v>98895.72</v>
      </c>
      <c r="E296" s="37" t="s">
        <v>998</v>
      </c>
    </row>
    <row r="297">
      <c r="B297" s="42">
        <v>46112.0</v>
      </c>
      <c r="C297" s="43">
        <v>54.91</v>
      </c>
      <c r="D297" s="36">
        <f t="shared" si="1"/>
        <v>98950.63</v>
      </c>
      <c r="E297" s="37" t="s">
        <v>1005</v>
      </c>
    </row>
    <row r="298">
      <c r="B298" s="42">
        <v>46113.0</v>
      </c>
      <c r="C298" s="43">
        <v>165.45</v>
      </c>
      <c r="D298" s="36">
        <f t="shared" si="1"/>
        <v>99116.08</v>
      </c>
      <c r="E298" s="37" t="s">
        <v>1006</v>
      </c>
    </row>
    <row r="299">
      <c r="B299" s="42">
        <v>46114.0</v>
      </c>
      <c r="C299" s="43">
        <v>101.05</v>
      </c>
      <c r="D299" s="36">
        <f t="shared" si="1"/>
        <v>99217.13</v>
      </c>
      <c r="E299" s="37" t="s">
        <v>1005</v>
      </c>
    </row>
    <row r="300">
      <c r="B300" s="42">
        <v>46118.0</v>
      </c>
      <c r="C300" s="43">
        <v>450.97</v>
      </c>
      <c r="D300" s="36">
        <f t="shared" si="1"/>
        <v>99668.1</v>
      </c>
      <c r="E300" s="37" t="s">
        <v>1003</v>
      </c>
    </row>
    <row r="301">
      <c r="B301" s="42">
        <v>46120.0</v>
      </c>
      <c r="C301" s="43">
        <v>203.34</v>
      </c>
      <c r="D301" s="36">
        <f t="shared" si="1"/>
        <v>99871.44</v>
      </c>
      <c r="E301" s="37" t="s">
        <v>1008</v>
      </c>
    </row>
    <row r="302">
      <c r="B302" s="42">
        <v>46121.0</v>
      </c>
      <c r="C302" s="43">
        <v>101.21</v>
      </c>
      <c r="D302" s="36">
        <f t="shared" si="1"/>
        <v>99972.65</v>
      </c>
      <c r="E302" s="37" t="s">
        <v>1006</v>
      </c>
    </row>
    <row r="303">
      <c r="B303" s="42">
        <v>46122.0</v>
      </c>
      <c r="C303" s="43">
        <v>398.56</v>
      </c>
      <c r="D303" s="36">
        <f t="shared" si="1"/>
        <v>100371.21</v>
      </c>
      <c r="E303" s="37" t="s">
        <v>1008</v>
      </c>
    </row>
    <row r="304">
      <c r="B304" s="42">
        <v>46125.0</v>
      </c>
      <c r="C304" s="43">
        <v>388.98</v>
      </c>
      <c r="D304" s="36">
        <f t="shared" si="1"/>
        <v>100760.19</v>
      </c>
      <c r="E304" s="37" t="s">
        <v>1004</v>
      </c>
    </row>
    <row r="305">
      <c r="B305" s="42">
        <v>46126.0</v>
      </c>
      <c r="C305" s="43">
        <v>253.52</v>
      </c>
      <c r="D305" s="36">
        <f t="shared" si="1"/>
        <v>101013.71</v>
      </c>
      <c r="E305" s="37" t="s">
        <v>1006</v>
      </c>
    </row>
    <row r="306">
      <c r="B306" s="42">
        <v>46127.0</v>
      </c>
      <c r="C306" s="43">
        <v>101.1</v>
      </c>
      <c r="D306" s="36">
        <f t="shared" si="1"/>
        <v>101114.81</v>
      </c>
      <c r="E306" s="37" t="s">
        <v>1008</v>
      </c>
    </row>
    <row r="307">
      <c r="B307" s="42">
        <v>46128.0</v>
      </c>
      <c r="C307" s="43">
        <v>124.76</v>
      </c>
      <c r="D307" s="36">
        <f t="shared" si="1"/>
        <v>101239.57</v>
      </c>
      <c r="E307" s="37" t="s">
        <v>1006</v>
      </c>
    </row>
    <row r="308">
      <c r="B308" s="42">
        <v>46129.0</v>
      </c>
      <c r="C308" s="43">
        <v>167.91</v>
      </c>
      <c r="D308" s="36">
        <f t="shared" si="1"/>
        <v>101407.48</v>
      </c>
      <c r="E308" s="37" t="s">
        <v>1006</v>
      </c>
    </row>
    <row r="309">
      <c r="B309" s="42">
        <v>46132.0</v>
      </c>
      <c r="C309" s="43">
        <v>406.53</v>
      </c>
      <c r="D309" s="36">
        <f t="shared" si="1"/>
        <v>101814.01</v>
      </c>
      <c r="E309" s="37" t="s">
        <v>998</v>
      </c>
    </row>
    <row r="310">
      <c r="B310" s="42">
        <v>46134.0</v>
      </c>
      <c r="C310" s="43">
        <v>410.57</v>
      </c>
      <c r="D310" s="36">
        <f t="shared" si="1"/>
        <v>102224.58</v>
      </c>
      <c r="E310" s="37" t="s">
        <v>996</v>
      </c>
    </row>
    <row r="311">
      <c r="B311" s="42">
        <v>46135.0</v>
      </c>
      <c r="C311" s="43">
        <v>188.9</v>
      </c>
      <c r="D311" s="36">
        <f t="shared" si="1"/>
        <v>102413.48</v>
      </c>
      <c r="E311" s="37" t="s">
        <v>1006</v>
      </c>
    </row>
    <row r="312">
      <c r="B312" s="42">
        <v>46136.0</v>
      </c>
      <c r="C312" s="43">
        <v>205.79</v>
      </c>
      <c r="D312" s="36">
        <f t="shared" si="1"/>
        <v>102619.27</v>
      </c>
      <c r="E312" s="37" t="s">
        <v>998</v>
      </c>
    </row>
    <row r="313">
      <c r="B313" s="42">
        <v>46139.0</v>
      </c>
      <c r="C313" s="43">
        <v>471.64</v>
      </c>
      <c r="D313" s="36">
        <f t="shared" si="1"/>
        <v>103090.91</v>
      </c>
      <c r="E313" s="37" t="s">
        <v>996</v>
      </c>
    </row>
    <row r="314">
      <c r="B314" s="42">
        <v>46140.0</v>
      </c>
      <c r="C314" s="43">
        <v>184.67</v>
      </c>
      <c r="D314" s="36">
        <f t="shared" si="1"/>
        <v>103275.58</v>
      </c>
      <c r="E314" s="37" t="s">
        <v>1006</v>
      </c>
    </row>
    <row r="315">
      <c r="B315" s="42">
        <v>46141.0</v>
      </c>
      <c r="C315" s="43">
        <v>144.7</v>
      </c>
      <c r="D315" s="36">
        <f t="shared" si="1"/>
        <v>103420.28</v>
      </c>
      <c r="E315" s="37" t="s">
        <v>1006</v>
      </c>
    </row>
    <row r="316">
      <c r="B316" s="42">
        <v>46142.0</v>
      </c>
      <c r="C316" s="43">
        <v>280.88</v>
      </c>
      <c r="D316" s="36">
        <f t="shared" si="1"/>
        <v>103701.16</v>
      </c>
      <c r="E316" s="37" t="s">
        <v>998</v>
      </c>
    </row>
    <row r="317">
      <c r="B317" s="42">
        <v>46147.0</v>
      </c>
      <c r="C317" s="43">
        <v>579.51</v>
      </c>
      <c r="D317" s="36">
        <f t="shared" si="1"/>
        <v>104280.67</v>
      </c>
      <c r="E317" s="37" t="s">
        <v>996</v>
      </c>
    </row>
    <row r="318">
      <c r="B318" s="42">
        <v>46149.0</v>
      </c>
      <c r="C318" s="43">
        <v>230.05</v>
      </c>
      <c r="D318" s="36">
        <f t="shared" si="1"/>
        <v>104510.72</v>
      </c>
      <c r="E318" s="37" t="s">
        <v>1006</v>
      </c>
    </row>
    <row r="319">
      <c r="B319" s="42">
        <v>46150.0</v>
      </c>
      <c r="C319" s="43">
        <v>167.2</v>
      </c>
      <c r="D319" s="36">
        <f t="shared" si="1"/>
        <v>104677.92</v>
      </c>
      <c r="E319" s="37" t="s">
        <v>1005</v>
      </c>
    </row>
    <row r="320">
      <c r="B320" s="42">
        <v>46155.0</v>
      </c>
      <c r="C320" s="43">
        <v>458.4</v>
      </c>
      <c r="D320" s="36">
        <f t="shared" si="1"/>
        <v>105136.32</v>
      </c>
      <c r="E320" s="37" t="s">
        <v>996</v>
      </c>
    </row>
    <row r="321">
      <c r="B321" s="42">
        <v>46157.0</v>
      </c>
      <c r="C321" s="43">
        <v>421.35</v>
      </c>
      <c r="D321" s="36">
        <f t="shared" si="1"/>
        <v>105557.67</v>
      </c>
      <c r="E321" s="37" t="s">
        <v>1006</v>
      </c>
    </row>
    <row r="322">
      <c r="B322" s="42">
        <v>46160.0</v>
      </c>
      <c r="C322" s="43">
        <v>383.7</v>
      </c>
      <c r="D322" s="36">
        <f t="shared" si="1"/>
        <v>105941.37</v>
      </c>
      <c r="E322" s="37" t="s">
        <v>998</v>
      </c>
    </row>
    <row r="323">
      <c r="B323" s="42">
        <v>46162.0</v>
      </c>
      <c r="C323" s="43">
        <v>335.65</v>
      </c>
      <c r="D323" s="36">
        <f t="shared" si="1"/>
        <v>106277.02</v>
      </c>
      <c r="E323" s="37" t="s">
        <v>998</v>
      </c>
    </row>
    <row r="324">
      <c r="B324" s="42">
        <v>46164.0</v>
      </c>
      <c r="C324" s="43">
        <v>374.94</v>
      </c>
      <c r="D324" s="36">
        <f t="shared" si="1"/>
        <v>106651.96</v>
      </c>
      <c r="E324" s="37" t="s">
        <v>1004</v>
      </c>
    </row>
    <row r="325">
      <c r="B325" s="42">
        <v>46167.0</v>
      </c>
      <c r="C325" s="43">
        <v>488.79</v>
      </c>
      <c r="D325" s="36">
        <f t="shared" si="1"/>
        <v>107140.75</v>
      </c>
      <c r="E325" s="37" t="s">
        <v>998</v>
      </c>
    </row>
    <row r="326">
      <c r="B326" s="42">
        <v>46169.0</v>
      </c>
      <c r="C326" s="43">
        <v>414.9</v>
      </c>
      <c r="D326" s="36">
        <f t="shared" si="1"/>
        <v>107555.65</v>
      </c>
      <c r="E326" s="37" t="s">
        <v>998</v>
      </c>
    </row>
    <row r="327">
      <c r="B327" s="42">
        <v>46170.0</v>
      </c>
      <c r="C327" s="43">
        <v>481.21</v>
      </c>
      <c r="D327" s="36">
        <f t="shared" si="1"/>
        <v>108036.86</v>
      </c>
      <c r="E327" s="37" t="s">
        <v>998</v>
      </c>
    </row>
    <row r="328">
      <c r="B328" s="42">
        <v>46171.0</v>
      </c>
      <c r="C328" s="43">
        <v>238.33</v>
      </c>
      <c r="D328" s="36">
        <f t="shared" si="1"/>
        <v>108275.19</v>
      </c>
      <c r="E328" s="37" t="s">
        <v>1006</v>
      </c>
    </row>
    <row r="329">
      <c r="B329" s="42">
        <v>46174.0</v>
      </c>
      <c r="C329" s="43">
        <v>450.89</v>
      </c>
      <c r="D329" s="36">
        <f t="shared" si="1"/>
        <v>108726.08</v>
      </c>
      <c r="E329" s="37" t="s">
        <v>996</v>
      </c>
    </row>
    <row r="330">
      <c r="B330" s="42">
        <v>46176.0</v>
      </c>
      <c r="C330" s="43">
        <v>256.33</v>
      </c>
      <c r="D330" s="36">
        <f t="shared" si="1"/>
        <v>108982.41</v>
      </c>
      <c r="E330" s="37" t="s">
        <v>1006</v>
      </c>
    </row>
    <row r="331">
      <c r="B331" s="42">
        <v>46178.0</v>
      </c>
      <c r="C331" s="43">
        <v>314.56</v>
      </c>
      <c r="D331" s="36">
        <f t="shared" si="1"/>
        <v>109296.97</v>
      </c>
      <c r="E331" s="37" t="s">
        <v>1006</v>
      </c>
    </row>
    <row r="332">
      <c r="B332" s="42">
        <v>46181.0</v>
      </c>
      <c r="C332" s="43">
        <v>457.35</v>
      </c>
      <c r="D332" s="36">
        <f t="shared" si="1"/>
        <v>109754.32</v>
      </c>
      <c r="E332" s="37" t="s">
        <v>1002</v>
      </c>
    </row>
    <row r="333">
      <c r="B333" s="42">
        <v>46184.0</v>
      </c>
      <c r="C333" s="43">
        <v>394.25</v>
      </c>
      <c r="D333" s="36">
        <f t="shared" si="1"/>
        <v>110148.57</v>
      </c>
      <c r="E333" s="37" t="s">
        <v>1006</v>
      </c>
    </row>
    <row r="334">
      <c r="B334" s="42">
        <v>46185.0</v>
      </c>
      <c r="C334" s="43">
        <v>378.3</v>
      </c>
      <c r="D334" s="36">
        <f t="shared" si="1"/>
        <v>110526.87</v>
      </c>
      <c r="E334" s="37" t="s">
        <v>1006</v>
      </c>
    </row>
    <row r="335">
      <c r="B335" s="42">
        <v>46188.0</v>
      </c>
      <c r="C335" s="43">
        <v>516.29</v>
      </c>
      <c r="D335" s="36">
        <f t="shared" si="1"/>
        <v>111043.16</v>
      </c>
      <c r="E335" s="37" t="s">
        <v>1002</v>
      </c>
    </row>
    <row r="336">
      <c r="B336" s="42">
        <v>46192.0</v>
      </c>
      <c r="C336" s="43">
        <v>418.46</v>
      </c>
      <c r="D336" s="36">
        <f t="shared" si="1"/>
        <v>111461.62</v>
      </c>
      <c r="E336" s="37" t="s">
        <v>998</v>
      </c>
    </row>
    <row r="337">
      <c r="B337" s="42">
        <v>46195.0</v>
      </c>
      <c r="C337" s="43">
        <v>509.8</v>
      </c>
      <c r="D337" s="36">
        <f t="shared" si="1"/>
        <v>111971.42</v>
      </c>
      <c r="E337" s="37" t="s">
        <v>1004</v>
      </c>
    </row>
    <row r="338">
      <c r="B338" s="42">
        <v>46198.0</v>
      </c>
      <c r="C338" s="43">
        <v>360.02</v>
      </c>
      <c r="D338" s="36">
        <f t="shared" si="1"/>
        <v>112331.44</v>
      </c>
      <c r="E338" s="37" t="s">
        <v>998</v>
      </c>
    </row>
    <row r="339">
      <c r="B339" s="42">
        <v>46199.0</v>
      </c>
      <c r="C339" s="43">
        <v>325.5</v>
      </c>
      <c r="D339" s="36">
        <f t="shared" si="1"/>
        <v>112656.94</v>
      </c>
      <c r="E339" s="37" t="s">
        <v>1006</v>
      </c>
    </row>
    <row r="340">
      <c r="B340" s="42">
        <v>46202.0</v>
      </c>
      <c r="C340" s="43">
        <v>620.0</v>
      </c>
      <c r="D340" s="36">
        <f t="shared" si="1"/>
        <v>113276.94</v>
      </c>
      <c r="E340" s="37" t="s">
        <v>1004</v>
      </c>
    </row>
    <row r="341">
      <c r="B341" s="42">
        <v>46204.0</v>
      </c>
      <c r="C341" s="43">
        <v>337.75</v>
      </c>
      <c r="D341" s="36">
        <f t="shared" si="1"/>
        <v>113614.69</v>
      </c>
      <c r="E341" s="37" t="s">
        <v>1006</v>
      </c>
    </row>
    <row r="342">
      <c r="B342" s="42">
        <v>46206.0</v>
      </c>
      <c r="C342" s="43">
        <v>350.06</v>
      </c>
      <c r="D342" s="36">
        <f t="shared" si="1"/>
        <v>113964.75</v>
      </c>
      <c r="E342" s="37" t="s">
        <v>1006</v>
      </c>
    </row>
    <row r="343">
      <c r="B343" s="42">
        <v>46209.0</v>
      </c>
      <c r="C343" s="43">
        <v>240.74</v>
      </c>
      <c r="D343" s="36">
        <f t="shared" si="1"/>
        <v>114205.49</v>
      </c>
      <c r="E343" s="37" t="s">
        <v>1006</v>
      </c>
    </row>
    <row r="344">
      <c r="B344" s="42">
        <v>46210.0</v>
      </c>
      <c r="C344" s="43">
        <v>263.2</v>
      </c>
      <c r="D344" s="36">
        <f t="shared" si="1"/>
        <v>114468.69</v>
      </c>
      <c r="E344" s="37" t="s">
        <v>1006</v>
      </c>
    </row>
    <row r="345">
      <c r="B345" s="42">
        <v>46211.0</v>
      </c>
      <c r="C345" s="43">
        <v>481.28</v>
      </c>
      <c r="D345" s="36">
        <f t="shared" si="1"/>
        <v>114949.97</v>
      </c>
      <c r="E345" s="37" t="s">
        <v>998</v>
      </c>
    </row>
    <row r="346">
      <c r="B346" s="42">
        <v>46212.0</v>
      </c>
      <c r="C346" s="43">
        <v>210.26</v>
      </c>
      <c r="D346" s="36">
        <f t="shared" si="1"/>
        <v>115160.23</v>
      </c>
      <c r="E346" s="37" t="s">
        <v>1006</v>
      </c>
    </row>
    <row r="347">
      <c r="B347" s="42">
        <v>46216.0</v>
      </c>
      <c r="C347" s="43">
        <v>480.31</v>
      </c>
      <c r="D347" s="36">
        <f t="shared" si="1"/>
        <v>115640.54</v>
      </c>
      <c r="E347" s="37" t="s">
        <v>998</v>
      </c>
    </row>
    <row r="348">
      <c r="B348" s="42">
        <v>46218.0</v>
      </c>
      <c r="C348" s="43">
        <v>228.74</v>
      </c>
      <c r="D348" s="36">
        <f t="shared" si="1"/>
        <v>115869.28</v>
      </c>
      <c r="E348" s="37" t="s">
        <v>1005</v>
      </c>
    </row>
    <row r="349">
      <c r="B349" s="42">
        <v>46220.0</v>
      </c>
      <c r="C349" s="43">
        <v>522.09</v>
      </c>
      <c r="D349" s="36">
        <f t="shared" si="1"/>
        <v>116391.37</v>
      </c>
      <c r="E349" s="37" t="s">
        <v>998</v>
      </c>
    </row>
    <row r="350">
      <c r="B350" s="42">
        <v>46223.0</v>
      </c>
      <c r="C350" s="43">
        <v>396.77</v>
      </c>
      <c r="D350" s="36">
        <f t="shared" si="1"/>
        <v>116788.14</v>
      </c>
      <c r="E350" s="37" t="s">
        <v>1006</v>
      </c>
    </row>
    <row r="351">
      <c r="B351" s="42">
        <v>46225.0</v>
      </c>
      <c r="C351" s="43">
        <v>231.5</v>
      </c>
      <c r="D351" s="36">
        <f t="shared" si="1"/>
        <v>117019.64</v>
      </c>
      <c r="E351" s="37" t="s">
        <v>1005</v>
      </c>
    </row>
    <row r="352">
      <c r="B352" s="42">
        <v>46226.0</v>
      </c>
      <c r="C352" s="43">
        <v>356.9</v>
      </c>
      <c r="D352" s="36">
        <f t="shared" si="1"/>
        <v>117376.54</v>
      </c>
      <c r="E352" s="37" t="s">
        <v>1006</v>
      </c>
    </row>
    <row r="353">
      <c r="B353" s="42">
        <v>46227.0</v>
      </c>
      <c r="C353" s="43">
        <v>370.34</v>
      </c>
      <c r="D353" s="36">
        <f t="shared" si="1"/>
        <v>117746.88</v>
      </c>
      <c r="E353" s="37" t="s">
        <v>1006</v>
      </c>
    </row>
    <row r="354">
      <c r="B354" s="42">
        <v>46230.0</v>
      </c>
      <c r="C354" s="43">
        <v>355.0</v>
      </c>
      <c r="D354" s="36">
        <f t="shared" si="1"/>
        <v>118101.88</v>
      </c>
      <c r="E354" s="37" t="s">
        <v>1006</v>
      </c>
    </row>
    <row r="355">
      <c r="B355" s="42">
        <v>46232.0</v>
      </c>
      <c r="C355" s="43">
        <v>339.15</v>
      </c>
      <c r="D355" s="36">
        <f t="shared" si="1"/>
        <v>118441.03</v>
      </c>
      <c r="E355" s="37" t="s">
        <v>1006</v>
      </c>
    </row>
    <row r="356">
      <c r="B356" s="42">
        <v>46234.0</v>
      </c>
      <c r="C356" s="43">
        <v>380.45</v>
      </c>
      <c r="D356" s="36">
        <f t="shared" si="1"/>
        <v>118821.48</v>
      </c>
      <c r="E356" s="37" t="s">
        <v>1006</v>
      </c>
    </row>
    <row r="357">
      <c r="B357" s="42">
        <v>46237.0</v>
      </c>
      <c r="C357" s="43">
        <v>255.0</v>
      </c>
      <c r="D357" s="36">
        <f t="shared" si="1"/>
        <v>119076.48</v>
      </c>
      <c r="E357" s="37" t="s">
        <v>1005</v>
      </c>
    </row>
    <row r="358">
      <c r="B358" s="42">
        <v>46239.0</v>
      </c>
      <c r="C358" s="43">
        <v>271.0</v>
      </c>
      <c r="D358" s="36">
        <f t="shared" si="1"/>
        <v>119347.48</v>
      </c>
      <c r="E358" s="37" t="s">
        <v>1005</v>
      </c>
    </row>
    <row r="359">
      <c r="B359" s="42">
        <v>46241.0</v>
      </c>
      <c r="C359" s="43">
        <v>377.0</v>
      </c>
      <c r="D359" s="36">
        <f t="shared" si="1"/>
        <v>119724.48</v>
      </c>
      <c r="E359" s="37" t="s">
        <v>1006</v>
      </c>
    </row>
    <row r="360">
      <c r="B360" s="42">
        <v>46244.0</v>
      </c>
      <c r="C360" s="43">
        <v>461.0</v>
      </c>
      <c r="D360" s="36">
        <f t="shared" si="1"/>
        <v>120185.48</v>
      </c>
      <c r="E360" s="37" t="s">
        <v>1004</v>
      </c>
    </row>
    <row r="361">
      <c r="B361" s="42">
        <v>46246.0</v>
      </c>
      <c r="C361" s="43">
        <v>296.0</v>
      </c>
      <c r="D361" s="36">
        <f t="shared" si="1"/>
        <v>120481.48</v>
      </c>
      <c r="E361" s="37" t="s">
        <v>1006</v>
      </c>
    </row>
    <row r="362">
      <c r="B362" s="42">
        <v>46248.0</v>
      </c>
      <c r="C362" s="43">
        <v>394.0</v>
      </c>
      <c r="D362" s="36">
        <f t="shared" si="1"/>
        <v>120875.48</v>
      </c>
      <c r="E362" s="37" t="s">
        <v>998</v>
      </c>
    </row>
    <row r="363">
      <c r="B363" s="34"/>
      <c r="C363" s="35"/>
      <c r="D363" s="51"/>
      <c r="E363" s="39"/>
    </row>
    <row r="364">
      <c r="B364" s="34"/>
      <c r="C364" s="35"/>
      <c r="D364" s="51"/>
      <c r="E364" s="39"/>
    </row>
    <row r="365">
      <c r="B365" s="34"/>
      <c r="C365" s="35"/>
      <c r="D365" s="51"/>
      <c r="E365" s="39"/>
    </row>
    <row r="366">
      <c r="B366" s="34"/>
      <c r="C366" s="35"/>
      <c r="D366" s="51"/>
      <c r="E366" s="39"/>
    </row>
    <row r="367">
      <c r="B367" s="34"/>
      <c r="C367" s="35"/>
      <c r="D367" s="51"/>
      <c r="E367" s="39"/>
    </row>
    <row r="368">
      <c r="B368" s="34"/>
      <c r="C368" s="35"/>
      <c r="D368" s="51"/>
      <c r="E368" s="39"/>
    </row>
    <row r="369">
      <c r="B369" s="34"/>
      <c r="C369" s="35"/>
      <c r="D369" s="51"/>
      <c r="E369" s="39"/>
    </row>
    <row r="370">
      <c r="B370" s="34"/>
      <c r="C370" s="35"/>
      <c r="D370" s="51"/>
      <c r="E370" s="39"/>
    </row>
    <row r="371">
      <c r="B371" s="34"/>
      <c r="C371" s="35"/>
      <c r="D371" s="51"/>
      <c r="E371" s="39"/>
    </row>
    <row r="372">
      <c r="B372" s="34"/>
      <c r="C372" s="35"/>
      <c r="D372" s="51"/>
      <c r="E372" s="39"/>
    </row>
    <row r="373">
      <c r="B373" s="34"/>
      <c r="C373" s="35"/>
      <c r="D373" s="51"/>
      <c r="E373" s="39"/>
    </row>
    <row r="374">
      <c r="B374" s="112"/>
      <c r="C374" s="84"/>
      <c r="D374" s="84"/>
    </row>
    <row r="375">
      <c r="B375" s="112"/>
      <c r="C375" s="84"/>
      <c r="D375" s="84"/>
    </row>
    <row r="376">
      <c r="B376" s="112"/>
      <c r="C376" s="84"/>
      <c r="D376" s="84"/>
    </row>
    <row r="377">
      <c r="B377" s="112"/>
      <c r="C377" s="84"/>
      <c r="D377" s="84"/>
    </row>
    <row r="378">
      <c r="B378" s="112"/>
      <c r="C378" s="84"/>
      <c r="D378" s="84"/>
    </row>
    <row r="379">
      <c r="B379" s="112"/>
      <c r="C379" s="84"/>
      <c r="D379" s="84"/>
    </row>
    <row r="380">
      <c r="B380" s="112"/>
      <c r="C380" s="84"/>
      <c r="D380" s="84"/>
    </row>
    <row r="381">
      <c r="B381" s="112"/>
      <c r="C381" s="84"/>
      <c r="D381" s="84"/>
    </row>
    <row r="382">
      <c r="B382" s="112"/>
      <c r="C382" s="84"/>
      <c r="D382" s="84"/>
    </row>
    <row r="383">
      <c r="B383" s="112"/>
      <c r="C383" s="84"/>
      <c r="D383" s="84"/>
    </row>
    <row r="384">
      <c r="B384" s="112"/>
      <c r="C384" s="84"/>
      <c r="D384" s="84"/>
    </row>
    <row r="385">
      <c r="B385" s="112"/>
      <c r="C385" s="84"/>
      <c r="D385" s="84"/>
    </row>
    <row r="386">
      <c r="B386" s="112"/>
      <c r="C386" s="84"/>
      <c r="D386" s="84"/>
    </row>
    <row r="387">
      <c r="B387" s="112"/>
      <c r="C387" s="84"/>
      <c r="D387" s="84"/>
    </row>
    <row r="388">
      <c r="B388" s="112"/>
      <c r="C388" s="84"/>
      <c r="D388" s="84"/>
    </row>
    <row r="389">
      <c r="B389" s="112"/>
      <c r="C389" s="84"/>
      <c r="D389" s="84"/>
    </row>
    <row r="390">
      <c r="B390" s="112"/>
      <c r="C390" s="84"/>
      <c r="D390" s="84"/>
    </row>
    <row r="391">
      <c r="B391" s="112"/>
      <c r="C391" s="84"/>
      <c r="D391" s="84"/>
    </row>
    <row r="392">
      <c r="B392" s="112"/>
      <c r="C392" s="84"/>
      <c r="D392" s="84"/>
    </row>
    <row r="393">
      <c r="B393" s="112"/>
      <c r="C393" s="84"/>
      <c r="D393" s="84"/>
    </row>
    <row r="394">
      <c r="B394" s="112"/>
      <c r="C394" s="84"/>
      <c r="D394" s="84"/>
    </row>
    <row r="395">
      <c r="B395" s="112"/>
      <c r="C395" s="84"/>
      <c r="D395" s="84"/>
    </row>
    <row r="396">
      <c r="B396" s="112"/>
      <c r="C396" s="84"/>
      <c r="D396" s="84"/>
    </row>
    <row r="397">
      <c r="B397" s="112"/>
      <c r="C397" s="84"/>
      <c r="D397" s="84"/>
    </row>
    <row r="398">
      <c r="B398" s="112"/>
      <c r="C398" s="84"/>
      <c r="D398" s="84"/>
    </row>
    <row r="399">
      <c r="B399" s="112"/>
      <c r="C399" s="84"/>
      <c r="D399" s="84"/>
    </row>
    <row r="400">
      <c r="B400" s="112"/>
      <c r="C400" s="84"/>
      <c r="D400" s="84"/>
    </row>
    <row r="401">
      <c r="B401" s="112"/>
      <c r="C401" s="84"/>
      <c r="D401" s="84"/>
    </row>
    <row r="402">
      <c r="B402" s="112"/>
      <c r="C402" s="84"/>
      <c r="D402" s="84"/>
    </row>
    <row r="403">
      <c r="B403" s="112"/>
      <c r="C403" s="84"/>
      <c r="D403" s="84"/>
    </row>
    <row r="404">
      <c r="B404" s="112"/>
      <c r="C404" s="84"/>
      <c r="D404" s="84"/>
    </row>
    <row r="405">
      <c r="B405" s="112"/>
      <c r="C405" s="84"/>
      <c r="D405" s="84"/>
    </row>
    <row r="406">
      <c r="B406" s="112"/>
      <c r="C406" s="84"/>
      <c r="D406" s="84"/>
    </row>
    <row r="407">
      <c r="B407" s="112"/>
      <c r="C407" s="84"/>
      <c r="D407" s="84"/>
    </row>
    <row r="408">
      <c r="B408" s="112"/>
      <c r="C408" s="84"/>
      <c r="D408" s="84"/>
    </row>
    <row r="409">
      <c r="B409" s="112"/>
      <c r="C409" s="84"/>
      <c r="D409" s="84"/>
    </row>
    <row r="410">
      <c r="B410" s="112"/>
      <c r="C410" s="84"/>
      <c r="D410" s="84"/>
    </row>
    <row r="411">
      <c r="B411" s="112"/>
      <c r="C411" s="84"/>
      <c r="D411" s="84"/>
    </row>
    <row r="412">
      <c r="B412" s="112"/>
      <c r="C412" s="84"/>
      <c r="D412" s="84"/>
    </row>
    <row r="413">
      <c r="B413" s="112"/>
      <c r="C413" s="84"/>
      <c r="D413" s="84"/>
    </row>
    <row r="414">
      <c r="B414" s="112"/>
      <c r="C414" s="84"/>
      <c r="D414" s="84"/>
    </row>
    <row r="415">
      <c r="B415" s="112"/>
      <c r="C415" s="84"/>
      <c r="D415" s="84"/>
    </row>
    <row r="416">
      <c r="B416" s="112"/>
      <c r="C416" s="84"/>
      <c r="D416" s="84"/>
    </row>
    <row r="417">
      <c r="B417" s="112"/>
      <c r="C417" s="84"/>
      <c r="D417" s="84"/>
    </row>
    <row r="418">
      <c r="B418" s="112"/>
      <c r="C418" s="84"/>
      <c r="D418" s="84"/>
    </row>
    <row r="419">
      <c r="B419" s="112"/>
      <c r="C419" s="84"/>
      <c r="D419" s="84"/>
    </row>
    <row r="420">
      <c r="B420" s="112"/>
      <c r="C420" s="84"/>
      <c r="D420" s="84"/>
    </row>
    <row r="421">
      <c r="B421" s="112"/>
      <c r="C421" s="84"/>
      <c r="D421" s="84"/>
    </row>
    <row r="422">
      <c r="B422" s="112"/>
      <c r="C422" s="84"/>
      <c r="D422" s="84"/>
    </row>
    <row r="423">
      <c r="B423" s="112"/>
      <c r="C423" s="84"/>
      <c r="D423" s="84"/>
    </row>
    <row r="424">
      <c r="B424" s="112"/>
      <c r="C424" s="84"/>
      <c r="D424" s="84"/>
    </row>
    <row r="425">
      <c r="B425" s="112"/>
      <c r="C425" s="84"/>
      <c r="D425" s="84"/>
    </row>
    <row r="426">
      <c r="B426" s="112"/>
      <c r="C426" s="84"/>
      <c r="D426" s="84"/>
    </row>
    <row r="427">
      <c r="B427" s="112"/>
      <c r="C427" s="84"/>
      <c r="D427" s="84"/>
    </row>
    <row r="428">
      <c r="B428" s="112"/>
      <c r="C428" s="84"/>
      <c r="D428" s="84"/>
    </row>
    <row r="429">
      <c r="B429" s="112"/>
      <c r="C429" s="84"/>
      <c r="D429" s="84"/>
    </row>
    <row r="430">
      <c r="B430" s="112"/>
      <c r="C430" s="84"/>
      <c r="D430" s="84"/>
    </row>
    <row r="431">
      <c r="B431" s="112"/>
      <c r="C431" s="84"/>
      <c r="D431" s="84"/>
    </row>
    <row r="432">
      <c r="B432" s="112"/>
      <c r="C432" s="84"/>
      <c r="D432" s="84"/>
    </row>
    <row r="433">
      <c r="B433" s="112"/>
      <c r="C433" s="84"/>
      <c r="D433" s="84"/>
    </row>
    <row r="434">
      <c r="B434" s="112"/>
      <c r="C434" s="84"/>
      <c r="D434" s="84"/>
    </row>
    <row r="435">
      <c r="B435" s="112"/>
      <c r="C435" s="84"/>
      <c r="D435" s="84"/>
    </row>
    <row r="436">
      <c r="B436" s="112"/>
      <c r="C436" s="84"/>
      <c r="D436" s="84"/>
    </row>
    <row r="437">
      <c r="B437" s="112"/>
      <c r="C437" s="84"/>
      <c r="D437" s="84"/>
    </row>
    <row r="438">
      <c r="B438" s="112"/>
      <c r="C438" s="84"/>
      <c r="D438" s="84"/>
    </row>
    <row r="439">
      <c r="B439" s="112"/>
      <c r="C439" s="84"/>
      <c r="D439" s="84"/>
    </row>
    <row r="440">
      <c r="B440" s="112"/>
      <c r="C440" s="84"/>
      <c r="D440" s="84"/>
    </row>
    <row r="441">
      <c r="B441" s="112"/>
      <c r="C441" s="84"/>
      <c r="D441" s="84"/>
    </row>
    <row r="442">
      <c r="B442" s="112"/>
      <c r="C442" s="84"/>
      <c r="D442" s="84"/>
    </row>
    <row r="443">
      <c r="B443" s="112"/>
      <c r="C443" s="84"/>
      <c r="D443" s="84"/>
    </row>
    <row r="444">
      <c r="B444" s="112"/>
      <c r="C444" s="84"/>
      <c r="D444" s="84"/>
    </row>
    <row r="445">
      <c r="B445" s="112"/>
      <c r="C445" s="84"/>
      <c r="D445" s="84"/>
    </row>
    <row r="446">
      <c r="B446" s="112"/>
      <c r="C446" s="84"/>
      <c r="D446" s="84"/>
    </row>
    <row r="447">
      <c r="B447" s="112"/>
      <c r="C447" s="84"/>
      <c r="D447" s="84"/>
    </row>
    <row r="448">
      <c r="B448" s="112"/>
      <c r="C448" s="84"/>
      <c r="D448" s="84"/>
    </row>
    <row r="449">
      <c r="B449" s="112"/>
      <c r="C449" s="84"/>
      <c r="D449" s="84"/>
    </row>
    <row r="450">
      <c r="B450" s="112"/>
      <c r="C450" s="84"/>
      <c r="D450" s="84"/>
    </row>
    <row r="451">
      <c r="B451" s="112"/>
      <c r="C451" s="84"/>
      <c r="D451" s="84"/>
    </row>
    <row r="452">
      <c r="B452" s="112"/>
      <c r="C452" s="84"/>
      <c r="D452" s="84"/>
    </row>
    <row r="453">
      <c r="B453" s="112"/>
      <c r="C453" s="84"/>
      <c r="D453" s="84"/>
    </row>
    <row r="454">
      <c r="B454" s="112"/>
      <c r="C454" s="84"/>
      <c r="D454" s="84"/>
    </row>
    <row r="455">
      <c r="B455" s="112"/>
      <c r="C455" s="84"/>
      <c r="D455" s="84"/>
    </row>
    <row r="456">
      <c r="B456" s="112"/>
      <c r="C456" s="84"/>
      <c r="D456" s="84"/>
    </row>
    <row r="457">
      <c r="B457" s="112"/>
      <c r="C457" s="84"/>
      <c r="D457" s="84"/>
    </row>
    <row r="458">
      <c r="B458" s="112"/>
      <c r="C458" s="84"/>
      <c r="D458" s="84"/>
    </row>
    <row r="459">
      <c r="B459" s="112"/>
      <c r="C459" s="84"/>
      <c r="D459" s="84"/>
    </row>
    <row r="460">
      <c r="B460" s="112"/>
      <c r="C460" s="84"/>
      <c r="D460" s="84"/>
    </row>
    <row r="461">
      <c r="B461" s="112"/>
      <c r="C461" s="84"/>
      <c r="D461" s="84"/>
    </row>
    <row r="462">
      <c r="B462" s="112"/>
      <c r="C462" s="84"/>
      <c r="D462" s="84"/>
    </row>
    <row r="463">
      <c r="B463" s="112"/>
      <c r="C463" s="84"/>
      <c r="D463" s="84"/>
    </row>
    <row r="464">
      <c r="B464" s="112"/>
      <c r="C464" s="84"/>
      <c r="D464" s="84"/>
    </row>
    <row r="465">
      <c r="B465" s="112"/>
      <c r="C465" s="84"/>
      <c r="D465" s="84"/>
    </row>
    <row r="466">
      <c r="B466" s="112"/>
      <c r="C466" s="84"/>
      <c r="D466" s="84"/>
    </row>
    <row r="467">
      <c r="B467" s="112"/>
      <c r="C467" s="84"/>
      <c r="D467" s="84"/>
    </row>
    <row r="468">
      <c r="B468" s="112"/>
      <c r="C468" s="84"/>
      <c r="D468" s="84"/>
    </row>
    <row r="469">
      <c r="B469" s="112"/>
      <c r="C469" s="84"/>
      <c r="D469" s="84"/>
    </row>
    <row r="470">
      <c r="B470" s="112"/>
      <c r="C470" s="84"/>
      <c r="D470" s="84"/>
    </row>
    <row r="471">
      <c r="B471" s="112"/>
      <c r="C471" s="84"/>
      <c r="D471" s="84"/>
    </row>
    <row r="472">
      <c r="B472" s="112"/>
      <c r="C472" s="84"/>
      <c r="D472" s="84"/>
    </row>
    <row r="473">
      <c r="B473" s="112"/>
      <c r="C473" s="84"/>
      <c r="D473" s="84"/>
    </row>
    <row r="474">
      <c r="B474" s="112"/>
      <c r="C474" s="84"/>
      <c r="D474" s="84"/>
    </row>
    <row r="475">
      <c r="B475" s="112"/>
      <c r="C475" s="84"/>
      <c r="D475" s="84"/>
    </row>
    <row r="476">
      <c r="B476" s="112"/>
      <c r="C476" s="84"/>
      <c r="D476" s="84"/>
    </row>
    <row r="477">
      <c r="B477" s="112"/>
      <c r="C477" s="84"/>
      <c r="D477" s="84"/>
    </row>
    <row r="478">
      <c r="B478" s="112"/>
      <c r="C478" s="84"/>
      <c r="D478" s="84"/>
    </row>
    <row r="479">
      <c r="B479" s="112"/>
      <c r="C479" s="84"/>
      <c r="D479" s="84"/>
    </row>
    <row r="480">
      <c r="B480" s="112"/>
      <c r="C480" s="84"/>
      <c r="D480" s="84"/>
    </row>
    <row r="481">
      <c r="B481" s="112"/>
      <c r="C481" s="84"/>
      <c r="D481" s="84"/>
    </row>
    <row r="482">
      <c r="B482" s="112"/>
      <c r="C482" s="84"/>
      <c r="D482" s="84"/>
    </row>
    <row r="483">
      <c r="B483" s="112"/>
      <c r="C483" s="84"/>
      <c r="D483" s="84"/>
    </row>
    <row r="484">
      <c r="B484" s="112"/>
      <c r="C484" s="84"/>
      <c r="D484" s="84"/>
    </row>
    <row r="485">
      <c r="B485" s="112"/>
      <c r="C485" s="84"/>
      <c r="D485" s="84"/>
    </row>
    <row r="486">
      <c r="B486" s="112"/>
      <c r="C486" s="84"/>
      <c r="D486" s="84"/>
    </row>
    <row r="487">
      <c r="B487" s="112"/>
      <c r="C487" s="84"/>
      <c r="D487" s="84"/>
    </row>
    <row r="488">
      <c r="B488" s="112"/>
      <c r="C488" s="84"/>
      <c r="D488" s="84"/>
    </row>
    <row r="489">
      <c r="B489" s="112"/>
      <c r="C489" s="84"/>
      <c r="D489" s="84"/>
    </row>
    <row r="490">
      <c r="B490" s="112"/>
      <c r="C490" s="84"/>
      <c r="D490" s="84"/>
    </row>
    <row r="491">
      <c r="B491" s="112"/>
      <c r="C491" s="84"/>
      <c r="D491" s="84"/>
    </row>
    <row r="492">
      <c r="B492" s="112"/>
      <c r="C492" s="84"/>
      <c r="D492" s="84"/>
    </row>
    <row r="493">
      <c r="B493" s="112"/>
      <c r="C493" s="84"/>
      <c r="D493" s="84"/>
    </row>
    <row r="494">
      <c r="B494" s="112"/>
      <c r="C494" s="84"/>
      <c r="D494" s="84"/>
    </row>
    <row r="495">
      <c r="B495" s="112"/>
      <c r="C495" s="84"/>
      <c r="D495" s="84"/>
    </row>
    <row r="496">
      <c r="B496" s="112"/>
      <c r="C496" s="84"/>
      <c r="D496" s="84"/>
    </row>
    <row r="497">
      <c r="B497" s="112"/>
      <c r="C497" s="84"/>
      <c r="D497" s="84"/>
    </row>
    <row r="498">
      <c r="B498" s="112"/>
      <c r="C498" s="84"/>
      <c r="D498" s="84"/>
    </row>
    <row r="499">
      <c r="B499" s="112"/>
      <c r="C499" s="84"/>
      <c r="D499" s="84"/>
    </row>
    <row r="500">
      <c r="B500" s="112"/>
      <c r="C500" s="84"/>
      <c r="D500" s="84"/>
    </row>
    <row r="501">
      <c r="B501" s="112"/>
      <c r="C501" s="84"/>
      <c r="D501" s="84"/>
    </row>
    <row r="502">
      <c r="B502" s="112"/>
      <c r="C502" s="84"/>
      <c r="D502" s="84"/>
    </row>
    <row r="503">
      <c r="B503" s="112"/>
      <c r="C503" s="84"/>
      <c r="D503" s="84"/>
    </row>
    <row r="504">
      <c r="B504" s="112"/>
      <c r="C504" s="84"/>
      <c r="D504" s="84"/>
    </row>
    <row r="505">
      <c r="B505" s="112"/>
      <c r="C505" s="84"/>
      <c r="D505" s="84"/>
    </row>
    <row r="506">
      <c r="B506" s="112"/>
      <c r="C506" s="84"/>
      <c r="D506" s="84"/>
    </row>
    <row r="507">
      <c r="B507" s="112"/>
      <c r="C507" s="84"/>
      <c r="D507" s="84"/>
    </row>
    <row r="508">
      <c r="B508" s="112"/>
      <c r="C508" s="84"/>
      <c r="D508" s="84"/>
    </row>
    <row r="509">
      <c r="B509" s="112"/>
      <c r="C509" s="84"/>
      <c r="D509" s="84"/>
    </row>
    <row r="510">
      <c r="B510" s="112"/>
      <c r="C510" s="84"/>
      <c r="D510" s="84"/>
    </row>
    <row r="511">
      <c r="B511" s="112"/>
      <c r="C511" s="84"/>
      <c r="D511" s="84"/>
    </row>
    <row r="512">
      <c r="B512" s="112"/>
      <c r="C512" s="84"/>
      <c r="D512" s="84"/>
    </row>
    <row r="513">
      <c r="B513" s="112"/>
      <c r="C513" s="84"/>
      <c r="D513" s="84"/>
    </row>
    <row r="514">
      <c r="B514" s="112"/>
      <c r="C514" s="84"/>
      <c r="D514" s="84"/>
    </row>
    <row r="515">
      <c r="B515" s="112"/>
      <c r="C515" s="84"/>
      <c r="D515" s="84"/>
    </row>
    <row r="516">
      <c r="B516" s="112"/>
      <c r="C516" s="84"/>
      <c r="D516" s="84"/>
    </row>
    <row r="517">
      <c r="B517" s="112"/>
      <c r="C517" s="84"/>
      <c r="D517" s="84"/>
    </row>
    <row r="518">
      <c r="B518" s="112"/>
      <c r="C518" s="84"/>
      <c r="D518" s="84"/>
    </row>
    <row r="519">
      <c r="B519" s="112"/>
      <c r="C519" s="84"/>
      <c r="D519" s="84"/>
    </row>
    <row r="520">
      <c r="B520" s="112"/>
      <c r="C520" s="84"/>
      <c r="D520" s="84"/>
    </row>
    <row r="521">
      <c r="B521" s="112"/>
      <c r="C521" s="84"/>
      <c r="D521" s="84"/>
    </row>
    <row r="522">
      <c r="B522" s="112"/>
      <c r="C522" s="84"/>
      <c r="D522" s="84"/>
    </row>
    <row r="523">
      <c r="B523" s="112"/>
      <c r="C523" s="84"/>
      <c r="D523" s="84"/>
    </row>
    <row r="524">
      <c r="B524" s="112"/>
      <c r="C524" s="84"/>
      <c r="D524" s="84"/>
    </row>
    <row r="525">
      <c r="B525" s="112"/>
      <c r="C525" s="84"/>
      <c r="D525" s="84"/>
    </row>
    <row r="526">
      <c r="B526" s="112"/>
      <c r="C526" s="84"/>
      <c r="D526" s="84"/>
    </row>
    <row r="527">
      <c r="B527" s="112"/>
      <c r="C527" s="84"/>
      <c r="D527" s="84"/>
    </row>
    <row r="528">
      <c r="B528" s="112"/>
      <c r="C528" s="84"/>
      <c r="D528" s="84"/>
    </row>
    <row r="529">
      <c r="B529" s="112"/>
      <c r="C529" s="84"/>
      <c r="D529" s="84"/>
    </row>
    <row r="530">
      <c r="B530" s="112"/>
      <c r="C530" s="84"/>
      <c r="D530" s="84"/>
    </row>
    <row r="531">
      <c r="B531" s="112"/>
      <c r="C531" s="84"/>
      <c r="D531" s="84"/>
    </row>
    <row r="532">
      <c r="B532" s="112"/>
      <c r="C532" s="84"/>
      <c r="D532" s="84"/>
    </row>
    <row r="533">
      <c r="B533" s="112"/>
      <c r="C533" s="84"/>
      <c r="D533" s="84"/>
    </row>
    <row r="534">
      <c r="B534" s="112"/>
      <c r="C534" s="84"/>
      <c r="D534" s="84"/>
    </row>
    <row r="535">
      <c r="B535" s="112"/>
      <c r="C535" s="84"/>
      <c r="D535" s="84"/>
    </row>
    <row r="536">
      <c r="B536" s="112"/>
      <c r="C536" s="84"/>
      <c r="D536" s="84"/>
    </row>
    <row r="537">
      <c r="B537" s="112"/>
      <c r="C537" s="84"/>
      <c r="D537" s="84"/>
    </row>
    <row r="538">
      <c r="B538" s="112"/>
      <c r="C538" s="84"/>
      <c r="D538" s="84"/>
    </row>
    <row r="539">
      <c r="B539" s="112"/>
      <c r="C539" s="84"/>
      <c r="D539" s="84"/>
    </row>
    <row r="540">
      <c r="B540" s="112"/>
      <c r="C540" s="84"/>
      <c r="D540" s="84"/>
    </row>
    <row r="541">
      <c r="B541" s="112"/>
      <c r="C541" s="84"/>
      <c r="D541" s="84"/>
    </row>
    <row r="542">
      <c r="B542" s="112"/>
      <c r="C542" s="84"/>
      <c r="D542" s="84"/>
    </row>
    <row r="543">
      <c r="B543" s="112"/>
      <c r="C543" s="84"/>
      <c r="D543" s="84"/>
    </row>
    <row r="544">
      <c r="B544" s="112"/>
      <c r="C544" s="84"/>
      <c r="D544" s="84"/>
    </row>
    <row r="545">
      <c r="B545" s="112"/>
      <c r="C545" s="84"/>
      <c r="D545" s="84"/>
    </row>
    <row r="546">
      <c r="B546" s="112"/>
      <c r="C546" s="84"/>
      <c r="D546" s="84"/>
    </row>
    <row r="547">
      <c r="B547" s="112"/>
      <c r="C547" s="84"/>
      <c r="D547" s="84"/>
    </row>
    <row r="548">
      <c r="B548" s="112"/>
      <c r="C548" s="84"/>
      <c r="D548" s="84"/>
    </row>
    <row r="549">
      <c r="B549" s="112"/>
      <c r="C549" s="84"/>
      <c r="D549" s="84"/>
    </row>
    <row r="550">
      <c r="B550" s="112"/>
      <c r="C550" s="84"/>
      <c r="D550" s="84"/>
    </row>
    <row r="551">
      <c r="B551" s="112"/>
      <c r="C551" s="84"/>
      <c r="D551" s="84"/>
    </row>
    <row r="552">
      <c r="B552" s="112"/>
      <c r="C552" s="84"/>
      <c r="D552" s="84"/>
    </row>
    <row r="553">
      <c r="B553" s="112"/>
      <c r="C553" s="84"/>
      <c r="D553" s="84"/>
    </row>
    <row r="554">
      <c r="B554" s="112"/>
      <c r="C554" s="84"/>
      <c r="D554" s="84"/>
    </row>
    <row r="555">
      <c r="B555" s="112"/>
      <c r="C555" s="84"/>
      <c r="D555" s="84"/>
    </row>
    <row r="556">
      <c r="B556" s="112"/>
      <c r="C556" s="84"/>
      <c r="D556" s="84"/>
    </row>
    <row r="557">
      <c r="B557" s="112"/>
      <c r="C557" s="84"/>
      <c r="D557" s="84"/>
    </row>
    <row r="558">
      <c r="B558" s="112"/>
      <c r="C558" s="84"/>
      <c r="D558" s="84"/>
    </row>
    <row r="559">
      <c r="B559" s="112"/>
      <c r="C559" s="84"/>
      <c r="D559" s="84"/>
    </row>
    <row r="560">
      <c r="B560" s="112"/>
      <c r="C560" s="84"/>
      <c r="D560" s="84"/>
    </row>
    <row r="561">
      <c r="B561" s="112"/>
      <c r="C561" s="84"/>
      <c r="D561" s="84"/>
    </row>
    <row r="562">
      <c r="B562" s="112"/>
      <c r="C562" s="84"/>
      <c r="D562" s="84"/>
    </row>
    <row r="563">
      <c r="B563" s="112"/>
      <c r="C563" s="84"/>
      <c r="D563" s="84"/>
    </row>
    <row r="564">
      <c r="B564" s="112"/>
      <c r="C564" s="84"/>
      <c r="D564" s="84"/>
    </row>
    <row r="565">
      <c r="B565" s="112"/>
      <c r="C565" s="84"/>
      <c r="D565" s="84"/>
    </row>
    <row r="566">
      <c r="B566" s="112"/>
      <c r="C566" s="84"/>
      <c r="D566" s="84"/>
    </row>
    <row r="567">
      <c r="B567" s="112"/>
      <c r="C567" s="84"/>
      <c r="D567" s="84"/>
    </row>
    <row r="568">
      <c r="B568" s="112"/>
      <c r="C568" s="84"/>
      <c r="D568" s="84"/>
    </row>
    <row r="569">
      <c r="B569" s="112"/>
      <c r="C569" s="84"/>
      <c r="D569" s="84"/>
    </row>
    <row r="570">
      <c r="B570" s="112"/>
      <c r="C570" s="84"/>
      <c r="D570" s="84"/>
    </row>
    <row r="571">
      <c r="B571" s="112"/>
      <c r="C571" s="84"/>
      <c r="D571" s="84"/>
    </row>
    <row r="572">
      <c r="B572" s="112"/>
      <c r="C572" s="84"/>
      <c r="D572" s="84"/>
    </row>
    <row r="573">
      <c r="B573" s="112"/>
      <c r="C573" s="84"/>
      <c r="D573" s="84"/>
    </row>
    <row r="574">
      <c r="B574" s="112"/>
      <c r="C574" s="84"/>
      <c r="D574" s="84"/>
    </row>
    <row r="575">
      <c r="B575" s="112"/>
      <c r="C575" s="84"/>
      <c r="D575" s="84"/>
    </row>
    <row r="576">
      <c r="B576" s="112"/>
      <c r="C576" s="84"/>
      <c r="D576" s="84"/>
    </row>
    <row r="577">
      <c r="B577" s="112"/>
      <c r="C577" s="84"/>
      <c r="D577" s="84"/>
    </row>
    <row r="578">
      <c r="B578" s="112"/>
      <c r="C578" s="84"/>
      <c r="D578" s="84"/>
    </row>
    <row r="579">
      <c r="B579" s="112"/>
      <c r="C579" s="84"/>
      <c r="D579" s="84"/>
    </row>
    <row r="580">
      <c r="B580" s="112"/>
      <c r="C580" s="84"/>
      <c r="D580" s="84"/>
    </row>
    <row r="581">
      <c r="B581" s="112"/>
      <c r="C581" s="84"/>
      <c r="D581" s="84"/>
    </row>
    <row r="582">
      <c r="B582" s="112"/>
      <c r="C582" s="84"/>
      <c r="D582" s="84"/>
    </row>
    <row r="583">
      <c r="B583" s="112"/>
      <c r="C583" s="84"/>
      <c r="D583" s="84"/>
    </row>
    <row r="584">
      <c r="B584" s="112"/>
      <c r="C584" s="84"/>
      <c r="D584" s="84"/>
    </row>
    <row r="585">
      <c r="B585" s="112"/>
      <c r="C585" s="84"/>
      <c r="D585" s="84"/>
    </row>
    <row r="586">
      <c r="B586" s="112"/>
      <c r="C586" s="84"/>
      <c r="D586" s="84"/>
    </row>
    <row r="587">
      <c r="B587" s="112"/>
      <c r="C587" s="84"/>
      <c r="D587" s="84"/>
    </row>
    <row r="588">
      <c r="B588" s="112"/>
      <c r="C588" s="84"/>
      <c r="D588" s="84"/>
    </row>
    <row r="589">
      <c r="B589" s="112"/>
      <c r="C589" s="84"/>
      <c r="D589" s="84"/>
    </row>
    <row r="590">
      <c r="B590" s="112"/>
      <c r="C590" s="84"/>
      <c r="D590" s="84"/>
    </row>
    <row r="591">
      <c r="B591" s="112"/>
      <c r="C591" s="84"/>
      <c r="D591" s="84"/>
    </row>
    <row r="592">
      <c r="B592" s="112"/>
      <c r="C592" s="84"/>
      <c r="D592" s="84"/>
    </row>
    <row r="593">
      <c r="B593" s="112"/>
      <c r="C593" s="84"/>
      <c r="D593" s="84"/>
    </row>
    <row r="594">
      <c r="B594" s="112"/>
      <c r="C594" s="84"/>
      <c r="D594" s="84"/>
    </row>
    <row r="595">
      <c r="B595" s="112"/>
      <c r="C595" s="84"/>
      <c r="D595" s="84"/>
    </row>
    <row r="596">
      <c r="B596" s="112"/>
      <c r="C596" s="84"/>
      <c r="D596" s="84"/>
    </row>
    <row r="597">
      <c r="B597" s="112"/>
      <c r="C597" s="84"/>
      <c r="D597" s="84"/>
    </row>
    <row r="598">
      <c r="B598" s="112"/>
      <c r="C598" s="84"/>
      <c r="D598" s="84"/>
    </row>
    <row r="599">
      <c r="B599" s="112"/>
      <c r="C599" s="84"/>
      <c r="D599" s="84"/>
    </row>
    <row r="600">
      <c r="B600" s="112"/>
      <c r="C600" s="84"/>
      <c r="D600" s="84"/>
    </row>
    <row r="601">
      <c r="B601" s="112"/>
      <c r="C601" s="84"/>
      <c r="D601" s="84"/>
    </row>
    <row r="602">
      <c r="B602" s="112"/>
      <c r="C602" s="84"/>
      <c r="D602" s="84"/>
    </row>
    <row r="603">
      <c r="B603" s="112"/>
      <c r="C603" s="84"/>
      <c r="D603" s="84"/>
    </row>
    <row r="604">
      <c r="B604" s="112"/>
      <c r="C604" s="84"/>
      <c r="D604" s="84"/>
    </row>
    <row r="605">
      <c r="B605" s="112"/>
      <c r="C605" s="84"/>
      <c r="D605" s="84"/>
    </row>
    <row r="606">
      <c r="B606" s="112"/>
      <c r="C606" s="84"/>
      <c r="D606" s="84"/>
    </row>
    <row r="607">
      <c r="B607" s="112"/>
      <c r="C607" s="84"/>
      <c r="D607" s="84"/>
    </row>
    <row r="608">
      <c r="B608" s="112"/>
      <c r="C608" s="84"/>
      <c r="D608" s="84"/>
    </row>
    <row r="609">
      <c r="B609" s="112"/>
      <c r="C609" s="84"/>
      <c r="D609" s="84"/>
    </row>
    <row r="610">
      <c r="B610" s="112"/>
      <c r="C610" s="84"/>
      <c r="D610" s="84"/>
    </row>
    <row r="611">
      <c r="B611" s="112"/>
      <c r="C611" s="84"/>
      <c r="D611" s="84"/>
    </row>
    <row r="612">
      <c r="B612" s="112"/>
      <c r="C612" s="84"/>
      <c r="D612" s="84"/>
    </row>
    <row r="613">
      <c r="B613" s="112"/>
      <c r="C613" s="84"/>
      <c r="D613" s="84"/>
    </row>
    <row r="614">
      <c r="B614" s="112"/>
      <c r="C614" s="84"/>
      <c r="D614" s="84"/>
    </row>
    <row r="615">
      <c r="B615" s="112"/>
      <c r="C615" s="84"/>
      <c r="D615" s="84"/>
    </row>
    <row r="616">
      <c r="B616" s="112"/>
      <c r="C616" s="84"/>
      <c r="D616" s="84"/>
    </row>
    <row r="617">
      <c r="B617" s="112"/>
      <c r="C617" s="84"/>
      <c r="D617" s="84"/>
    </row>
    <row r="618">
      <c r="B618" s="112"/>
      <c r="C618" s="84"/>
      <c r="D618" s="84"/>
    </row>
    <row r="619">
      <c r="B619" s="112"/>
      <c r="C619" s="84"/>
      <c r="D619" s="84"/>
    </row>
    <row r="620">
      <c r="B620" s="112"/>
      <c r="C620" s="84"/>
      <c r="D620" s="84"/>
    </row>
    <row r="621">
      <c r="B621" s="112"/>
      <c r="C621" s="84"/>
      <c r="D621" s="84"/>
    </row>
    <row r="622">
      <c r="B622" s="112"/>
      <c r="C622" s="84"/>
      <c r="D622" s="84"/>
    </row>
    <row r="623">
      <c r="B623" s="112"/>
      <c r="C623" s="84"/>
      <c r="D623" s="84"/>
    </row>
    <row r="624">
      <c r="B624" s="112"/>
      <c r="C624" s="84"/>
      <c r="D624" s="84"/>
    </row>
    <row r="625">
      <c r="B625" s="112"/>
      <c r="C625" s="84"/>
      <c r="D625" s="84"/>
    </row>
    <row r="626">
      <c r="B626" s="112"/>
      <c r="C626" s="84"/>
      <c r="D626" s="84"/>
    </row>
    <row r="627">
      <c r="B627" s="112"/>
      <c r="C627" s="84"/>
      <c r="D627" s="84"/>
    </row>
    <row r="628">
      <c r="B628" s="112"/>
      <c r="C628" s="84"/>
      <c r="D628" s="84"/>
    </row>
    <row r="629">
      <c r="B629" s="112"/>
      <c r="C629" s="84"/>
      <c r="D629" s="84"/>
    </row>
    <row r="630">
      <c r="B630" s="112"/>
      <c r="C630" s="84"/>
      <c r="D630" s="84"/>
    </row>
    <row r="631">
      <c r="B631" s="112"/>
      <c r="C631" s="84"/>
      <c r="D631" s="84"/>
    </row>
    <row r="632">
      <c r="B632" s="112"/>
      <c r="C632" s="84"/>
      <c r="D632" s="84"/>
    </row>
    <row r="633">
      <c r="B633" s="112"/>
      <c r="C633" s="84"/>
      <c r="D633" s="84"/>
    </row>
    <row r="634">
      <c r="B634" s="112"/>
      <c r="C634" s="84"/>
      <c r="D634" s="84"/>
    </row>
    <row r="635">
      <c r="B635" s="112"/>
      <c r="C635" s="84"/>
      <c r="D635" s="84"/>
    </row>
    <row r="636">
      <c r="B636" s="112"/>
      <c r="C636" s="84"/>
      <c r="D636" s="84"/>
    </row>
    <row r="637">
      <c r="B637" s="112"/>
      <c r="C637" s="84"/>
      <c r="D637" s="84"/>
    </row>
    <row r="638">
      <c r="B638" s="112"/>
      <c r="C638" s="84"/>
      <c r="D638" s="84"/>
    </row>
    <row r="639">
      <c r="B639" s="112"/>
      <c r="C639" s="84"/>
      <c r="D639" s="84"/>
    </row>
    <row r="640">
      <c r="B640" s="112"/>
      <c r="C640" s="84"/>
      <c r="D640" s="84"/>
    </row>
    <row r="641">
      <c r="B641" s="112"/>
      <c r="C641" s="84"/>
      <c r="D641" s="84"/>
    </row>
    <row r="642">
      <c r="B642" s="112"/>
      <c r="C642" s="84"/>
      <c r="D642" s="84"/>
    </row>
    <row r="643">
      <c r="B643" s="112"/>
      <c r="C643" s="84"/>
      <c r="D643" s="84"/>
    </row>
    <row r="644">
      <c r="B644" s="112"/>
      <c r="C644" s="84"/>
      <c r="D644" s="84"/>
    </row>
    <row r="645">
      <c r="B645" s="112"/>
      <c r="C645" s="84"/>
      <c r="D645" s="84"/>
    </row>
    <row r="646">
      <c r="B646" s="112"/>
      <c r="C646" s="84"/>
      <c r="D646" s="84"/>
    </row>
    <row r="647">
      <c r="B647" s="112"/>
      <c r="C647" s="84"/>
      <c r="D647" s="84"/>
    </row>
    <row r="648">
      <c r="B648" s="112"/>
      <c r="C648" s="84"/>
      <c r="D648" s="84"/>
    </row>
    <row r="649">
      <c r="B649" s="112"/>
      <c r="C649" s="84"/>
      <c r="D649" s="84"/>
    </row>
    <row r="650">
      <c r="B650" s="112"/>
      <c r="C650" s="84"/>
      <c r="D650" s="84"/>
    </row>
    <row r="651">
      <c r="B651" s="112"/>
      <c r="C651" s="84"/>
      <c r="D651" s="84"/>
    </row>
    <row r="652">
      <c r="B652" s="112"/>
      <c r="C652" s="84"/>
      <c r="D652" s="84"/>
    </row>
    <row r="653">
      <c r="B653" s="112"/>
      <c r="C653" s="84"/>
      <c r="D653" s="84"/>
    </row>
    <row r="654">
      <c r="B654" s="112"/>
      <c r="C654" s="84"/>
      <c r="D654" s="84"/>
    </row>
    <row r="655">
      <c r="B655" s="112"/>
      <c r="C655" s="84"/>
      <c r="D655" s="84"/>
    </row>
    <row r="656">
      <c r="B656" s="112"/>
      <c r="C656" s="84"/>
      <c r="D656" s="84"/>
    </row>
    <row r="657">
      <c r="B657" s="112"/>
      <c r="C657" s="84"/>
      <c r="D657" s="84"/>
    </row>
    <row r="658">
      <c r="B658" s="112"/>
      <c r="C658" s="84"/>
      <c r="D658" s="84"/>
    </row>
    <row r="659">
      <c r="B659" s="112"/>
      <c r="C659" s="84"/>
      <c r="D659" s="84"/>
    </row>
    <row r="660">
      <c r="B660" s="112"/>
      <c r="C660" s="84"/>
      <c r="D660" s="84"/>
    </row>
    <row r="661">
      <c r="B661" s="112"/>
      <c r="C661" s="84"/>
      <c r="D661" s="84"/>
    </row>
    <row r="662">
      <c r="B662" s="112"/>
      <c r="C662" s="84"/>
      <c r="D662" s="84"/>
    </row>
    <row r="663">
      <c r="B663" s="112"/>
      <c r="C663" s="84"/>
      <c r="D663" s="84"/>
    </row>
    <row r="664">
      <c r="B664" s="112"/>
      <c r="C664" s="84"/>
      <c r="D664" s="84"/>
    </row>
    <row r="665">
      <c r="B665" s="112"/>
      <c r="C665" s="84"/>
      <c r="D665" s="84"/>
    </row>
    <row r="666">
      <c r="B666" s="112"/>
      <c r="C666" s="84"/>
      <c r="D666" s="84"/>
    </row>
    <row r="667">
      <c r="B667" s="112"/>
      <c r="C667" s="84"/>
      <c r="D667" s="84"/>
    </row>
    <row r="668">
      <c r="B668" s="112"/>
      <c r="C668" s="84"/>
      <c r="D668" s="84"/>
    </row>
    <row r="669">
      <c r="B669" s="112"/>
      <c r="C669" s="84"/>
      <c r="D669" s="84"/>
    </row>
    <row r="670">
      <c r="B670" s="112"/>
      <c r="C670" s="84"/>
      <c r="D670" s="84"/>
    </row>
    <row r="671">
      <c r="B671" s="112"/>
      <c r="C671" s="84"/>
      <c r="D671" s="84"/>
    </row>
    <row r="672">
      <c r="B672" s="112"/>
      <c r="C672" s="84"/>
      <c r="D672" s="84"/>
    </row>
    <row r="673">
      <c r="B673" s="112"/>
      <c r="C673" s="84"/>
      <c r="D673" s="84"/>
    </row>
    <row r="674">
      <c r="B674" s="112"/>
      <c r="C674" s="84"/>
      <c r="D674" s="84"/>
    </row>
    <row r="675">
      <c r="B675" s="112"/>
      <c r="C675" s="84"/>
      <c r="D675" s="84"/>
    </row>
    <row r="676">
      <c r="B676" s="112"/>
      <c r="C676" s="84"/>
      <c r="D676" s="84"/>
    </row>
    <row r="677">
      <c r="B677" s="112"/>
      <c r="C677" s="84"/>
      <c r="D677" s="84"/>
    </row>
    <row r="678">
      <c r="B678" s="112"/>
      <c r="C678" s="84"/>
      <c r="D678" s="84"/>
    </row>
    <row r="679">
      <c r="B679" s="112"/>
      <c r="C679" s="84"/>
      <c r="D679" s="84"/>
    </row>
    <row r="680">
      <c r="B680" s="112"/>
      <c r="C680" s="84"/>
      <c r="D680" s="84"/>
    </row>
    <row r="681">
      <c r="B681" s="112"/>
      <c r="C681" s="84"/>
      <c r="D681" s="84"/>
    </row>
    <row r="682">
      <c r="B682" s="112"/>
      <c r="C682" s="84"/>
      <c r="D682" s="84"/>
    </row>
    <row r="683">
      <c r="B683" s="112"/>
      <c r="C683" s="84"/>
      <c r="D683" s="84"/>
    </row>
    <row r="684">
      <c r="B684" s="112"/>
      <c r="C684" s="84"/>
      <c r="D684" s="84"/>
    </row>
    <row r="685">
      <c r="B685" s="112"/>
      <c r="C685" s="84"/>
      <c r="D685" s="84"/>
    </row>
    <row r="686">
      <c r="B686" s="112"/>
      <c r="C686" s="84"/>
      <c r="D686" s="84"/>
    </row>
    <row r="687">
      <c r="B687" s="112"/>
      <c r="C687" s="84"/>
      <c r="D687" s="84"/>
    </row>
    <row r="688">
      <c r="B688" s="112"/>
      <c r="C688" s="84"/>
      <c r="D688" s="84"/>
    </row>
    <row r="689">
      <c r="B689" s="112"/>
      <c r="C689" s="84"/>
      <c r="D689" s="84"/>
    </row>
    <row r="690">
      <c r="B690" s="112"/>
      <c r="C690" s="84"/>
      <c r="D690" s="84"/>
    </row>
    <row r="691">
      <c r="B691" s="112"/>
      <c r="C691" s="84"/>
      <c r="D691" s="84"/>
    </row>
    <row r="692">
      <c r="B692" s="112"/>
      <c r="C692" s="84"/>
      <c r="D692" s="84"/>
    </row>
    <row r="693">
      <c r="B693" s="112"/>
      <c r="C693" s="84"/>
      <c r="D693" s="84"/>
    </row>
    <row r="694">
      <c r="B694" s="112"/>
      <c r="C694" s="84"/>
      <c r="D694" s="84"/>
    </row>
    <row r="695">
      <c r="B695" s="112"/>
      <c r="C695" s="84"/>
      <c r="D695" s="84"/>
    </row>
    <row r="696">
      <c r="B696" s="112"/>
      <c r="C696" s="84"/>
      <c r="D696" s="84"/>
    </row>
    <row r="697">
      <c r="B697" s="112"/>
      <c r="C697" s="84"/>
      <c r="D697" s="84"/>
    </row>
    <row r="698">
      <c r="B698" s="112"/>
      <c r="C698" s="84"/>
      <c r="D698" s="84"/>
    </row>
    <row r="699">
      <c r="B699" s="112"/>
      <c r="C699" s="84"/>
      <c r="D699" s="84"/>
    </row>
    <row r="700">
      <c r="B700" s="112"/>
      <c r="C700" s="84"/>
      <c r="D700" s="84"/>
    </row>
    <row r="701">
      <c r="B701" s="112"/>
      <c r="C701" s="84"/>
      <c r="D701" s="84"/>
    </row>
    <row r="702">
      <c r="B702" s="112"/>
      <c r="C702" s="84"/>
      <c r="D702" s="84"/>
    </row>
    <row r="703">
      <c r="B703" s="112"/>
      <c r="C703" s="84"/>
      <c r="D703" s="84"/>
    </row>
    <row r="704">
      <c r="B704" s="112"/>
      <c r="C704" s="84"/>
      <c r="D704" s="84"/>
    </row>
    <row r="705">
      <c r="B705" s="112"/>
      <c r="C705" s="84"/>
      <c r="D705" s="84"/>
    </row>
    <row r="706">
      <c r="B706" s="112"/>
      <c r="C706" s="84"/>
      <c r="D706" s="84"/>
    </row>
    <row r="707">
      <c r="B707" s="112"/>
      <c r="C707" s="84"/>
      <c r="D707" s="84"/>
    </row>
    <row r="708">
      <c r="B708" s="112"/>
      <c r="C708" s="84"/>
      <c r="D708" s="84"/>
    </row>
    <row r="709">
      <c r="B709" s="112"/>
      <c r="C709" s="84"/>
      <c r="D709" s="84"/>
    </row>
    <row r="710">
      <c r="B710" s="112"/>
      <c r="C710" s="84"/>
      <c r="D710" s="84"/>
    </row>
    <row r="711">
      <c r="B711" s="112"/>
      <c r="C711" s="84"/>
      <c r="D711" s="84"/>
    </row>
    <row r="712">
      <c r="B712" s="112"/>
      <c r="C712" s="84"/>
      <c r="D712" s="84"/>
    </row>
    <row r="713">
      <c r="B713" s="112"/>
      <c r="C713" s="84"/>
      <c r="D713" s="84"/>
    </row>
    <row r="714">
      <c r="B714" s="112"/>
      <c r="C714" s="84"/>
      <c r="D714" s="84"/>
    </row>
    <row r="715">
      <c r="B715" s="112"/>
      <c r="C715" s="84"/>
      <c r="D715" s="84"/>
    </row>
    <row r="716">
      <c r="B716" s="112"/>
      <c r="C716" s="84"/>
      <c r="D716" s="84"/>
    </row>
    <row r="717">
      <c r="B717" s="112"/>
      <c r="C717" s="84"/>
      <c r="D717" s="84"/>
    </row>
    <row r="718">
      <c r="B718" s="112"/>
      <c r="C718" s="84"/>
      <c r="D718" s="84"/>
    </row>
    <row r="719">
      <c r="B719" s="112"/>
      <c r="C719" s="84"/>
      <c r="D719" s="84"/>
    </row>
    <row r="720">
      <c r="B720" s="112"/>
      <c r="C720" s="84"/>
      <c r="D720" s="84"/>
    </row>
    <row r="721">
      <c r="B721" s="112"/>
      <c r="C721" s="84"/>
      <c r="D721" s="84"/>
    </row>
    <row r="722">
      <c r="B722" s="112"/>
      <c r="C722" s="84"/>
      <c r="D722" s="84"/>
    </row>
    <row r="723">
      <c r="B723" s="112"/>
      <c r="C723" s="84"/>
      <c r="D723" s="84"/>
    </row>
    <row r="724">
      <c r="B724" s="112"/>
      <c r="C724" s="84"/>
      <c r="D724" s="84"/>
    </row>
    <row r="725">
      <c r="B725" s="112"/>
      <c r="C725" s="84"/>
      <c r="D725" s="84"/>
    </row>
    <row r="726">
      <c r="B726" s="112"/>
      <c r="C726" s="84"/>
      <c r="D726" s="84"/>
    </row>
    <row r="727">
      <c r="B727" s="112"/>
      <c r="C727" s="84"/>
      <c r="D727" s="84"/>
    </row>
    <row r="728">
      <c r="B728" s="112"/>
      <c r="C728" s="84"/>
      <c r="D728" s="84"/>
    </row>
    <row r="729">
      <c r="B729" s="112"/>
      <c r="C729" s="84"/>
      <c r="D729" s="84"/>
    </row>
    <row r="730">
      <c r="B730" s="112"/>
      <c r="C730" s="84"/>
      <c r="D730" s="84"/>
    </row>
    <row r="731">
      <c r="B731" s="112"/>
      <c r="C731" s="84"/>
      <c r="D731" s="84"/>
    </row>
    <row r="732">
      <c r="B732" s="112"/>
      <c r="C732" s="84"/>
      <c r="D732" s="84"/>
    </row>
    <row r="733">
      <c r="B733" s="112"/>
      <c r="C733" s="84"/>
      <c r="D733" s="84"/>
    </row>
    <row r="734">
      <c r="B734" s="112"/>
      <c r="C734" s="84"/>
      <c r="D734" s="84"/>
    </row>
    <row r="735">
      <c r="B735" s="112"/>
      <c r="C735" s="84"/>
      <c r="D735" s="84"/>
    </row>
    <row r="736">
      <c r="B736" s="112"/>
      <c r="C736" s="84"/>
      <c r="D736" s="84"/>
    </row>
    <row r="737">
      <c r="B737" s="112"/>
      <c r="C737" s="84"/>
      <c r="D737" s="84"/>
    </row>
    <row r="738">
      <c r="B738" s="112"/>
      <c r="C738" s="84"/>
      <c r="D738" s="84"/>
    </row>
    <row r="739">
      <c r="B739" s="112"/>
      <c r="C739" s="84"/>
      <c r="D739" s="84"/>
    </row>
    <row r="740">
      <c r="B740" s="112"/>
      <c r="C740" s="84"/>
      <c r="D740" s="84"/>
    </row>
    <row r="741">
      <c r="B741" s="112"/>
      <c r="C741" s="84"/>
      <c r="D741" s="84"/>
    </row>
    <row r="742">
      <c r="B742" s="112"/>
      <c r="C742" s="84"/>
      <c r="D742" s="84"/>
    </row>
    <row r="743">
      <c r="B743" s="112"/>
      <c r="C743" s="84"/>
      <c r="D743" s="84"/>
    </row>
    <row r="744">
      <c r="B744" s="112"/>
      <c r="C744" s="84"/>
      <c r="D744" s="84"/>
    </row>
    <row r="745">
      <c r="B745" s="112"/>
      <c r="C745" s="84"/>
      <c r="D745" s="84"/>
    </row>
    <row r="746">
      <c r="B746" s="112"/>
      <c r="C746" s="84"/>
      <c r="D746" s="84"/>
    </row>
    <row r="747">
      <c r="B747" s="112"/>
      <c r="C747" s="84"/>
      <c r="D747" s="84"/>
    </row>
    <row r="748">
      <c r="B748" s="112"/>
      <c r="C748" s="84"/>
      <c r="D748" s="84"/>
    </row>
    <row r="749">
      <c r="B749" s="112"/>
      <c r="C749" s="84"/>
      <c r="D749" s="84"/>
    </row>
    <row r="750">
      <c r="B750" s="112"/>
      <c r="C750" s="84"/>
      <c r="D750" s="84"/>
    </row>
    <row r="751">
      <c r="B751" s="112"/>
      <c r="C751" s="84"/>
      <c r="D751" s="84"/>
    </row>
    <row r="752">
      <c r="B752" s="112"/>
      <c r="C752" s="84"/>
      <c r="D752" s="84"/>
    </row>
    <row r="753">
      <c r="B753" s="112"/>
      <c r="C753" s="84"/>
      <c r="D753" s="84"/>
    </row>
    <row r="754">
      <c r="B754" s="112"/>
      <c r="C754" s="84"/>
      <c r="D754" s="84"/>
    </row>
    <row r="755">
      <c r="B755" s="112"/>
      <c r="C755" s="84"/>
      <c r="D755" s="84"/>
    </row>
    <row r="756">
      <c r="B756" s="112"/>
      <c r="C756" s="84"/>
      <c r="D756" s="84"/>
    </row>
    <row r="757">
      <c r="B757" s="112"/>
      <c r="C757" s="84"/>
      <c r="D757" s="84"/>
    </row>
    <row r="758">
      <c r="B758" s="112"/>
      <c r="C758" s="84"/>
      <c r="D758" s="84"/>
    </row>
    <row r="759">
      <c r="B759" s="112"/>
      <c r="C759" s="84"/>
      <c r="D759" s="84"/>
    </row>
    <row r="760">
      <c r="B760" s="112"/>
      <c r="C760" s="84"/>
      <c r="D760" s="84"/>
    </row>
    <row r="761">
      <c r="B761" s="112"/>
      <c r="C761" s="84"/>
      <c r="D761" s="84"/>
    </row>
    <row r="762">
      <c r="B762" s="112"/>
      <c r="C762" s="84"/>
      <c r="D762" s="84"/>
    </row>
    <row r="763">
      <c r="B763" s="112"/>
      <c r="C763" s="84"/>
      <c r="D763" s="84"/>
    </row>
    <row r="764">
      <c r="B764" s="112"/>
      <c r="C764" s="84"/>
      <c r="D764" s="84"/>
    </row>
    <row r="765">
      <c r="B765" s="112"/>
      <c r="C765" s="84"/>
      <c r="D765" s="84"/>
    </row>
    <row r="766">
      <c r="B766" s="112"/>
      <c r="C766" s="84"/>
      <c r="D766" s="84"/>
    </row>
    <row r="767">
      <c r="B767" s="112"/>
      <c r="C767" s="84"/>
      <c r="D767" s="84"/>
    </row>
    <row r="768">
      <c r="B768" s="112"/>
      <c r="C768" s="84"/>
      <c r="D768" s="84"/>
    </row>
    <row r="769">
      <c r="B769" s="112"/>
      <c r="C769" s="84"/>
      <c r="D769" s="84"/>
    </row>
    <row r="770">
      <c r="B770" s="112"/>
      <c r="C770" s="84"/>
      <c r="D770" s="84"/>
    </row>
    <row r="771">
      <c r="B771" s="112"/>
      <c r="C771" s="84"/>
      <c r="D771" s="84"/>
    </row>
    <row r="772">
      <c r="B772" s="112"/>
      <c r="C772" s="84"/>
      <c r="D772" s="84"/>
    </row>
    <row r="773">
      <c r="B773" s="112"/>
      <c r="C773" s="84"/>
      <c r="D773" s="84"/>
    </row>
    <row r="774">
      <c r="B774" s="112"/>
      <c r="C774" s="84"/>
      <c r="D774" s="84"/>
    </row>
    <row r="775">
      <c r="B775" s="112"/>
      <c r="C775" s="84"/>
      <c r="D775" s="84"/>
    </row>
    <row r="776">
      <c r="B776" s="112"/>
      <c r="C776" s="84"/>
      <c r="D776" s="84"/>
    </row>
    <row r="777">
      <c r="B777" s="112"/>
      <c r="C777" s="84"/>
      <c r="D777" s="84"/>
    </row>
    <row r="778">
      <c r="B778" s="112"/>
      <c r="C778" s="84"/>
      <c r="D778" s="84"/>
    </row>
    <row r="779">
      <c r="B779" s="112"/>
      <c r="C779" s="84"/>
      <c r="D779" s="84"/>
    </row>
    <row r="780">
      <c r="B780" s="112"/>
      <c r="C780" s="84"/>
      <c r="D780" s="84"/>
    </row>
    <row r="781">
      <c r="B781" s="112"/>
      <c r="C781" s="84"/>
      <c r="D781" s="84"/>
    </row>
    <row r="782">
      <c r="B782" s="112"/>
      <c r="C782" s="84"/>
      <c r="D782" s="84"/>
    </row>
    <row r="783">
      <c r="B783" s="112"/>
      <c r="C783" s="84"/>
      <c r="D783" s="84"/>
    </row>
    <row r="784">
      <c r="B784" s="112"/>
      <c r="C784" s="84"/>
      <c r="D784" s="84"/>
    </row>
    <row r="785">
      <c r="B785" s="112"/>
      <c r="C785" s="84"/>
      <c r="D785" s="84"/>
    </row>
    <row r="786">
      <c r="B786" s="112"/>
      <c r="C786" s="84"/>
      <c r="D786" s="84"/>
    </row>
    <row r="787">
      <c r="B787" s="112"/>
      <c r="C787" s="84"/>
      <c r="D787" s="84"/>
    </row>
    <row r="788">
      <c r="B788" s="112"/>
      <c r="C788" s="84"/>
      <c r="D788" s="84"/>
    </row>
    <row r="789">
      <c r="B789" s="112"/>
      <c r="C789" s="84"/>
      <c r="D789" s="84"/>
    </row>
    <row r="790">
      <c r="B790" s="112"/>
      <c r="C790" s="84"/>
      <c r="D790" s="84"/>
    </row>
    <row r="791">
      <c r="B791" s="112"/>
      <c r="C791" s="84"/>
      <c r="D791" s="84"/>
    </row>
    <row r="792">
      <c r="B792" s="112"/>
      <c r="C792" s="84"/>
      <c r="D792" s="84"/>
    </row>
    <row r="793">
      <c r="B793" s="112"/>
      <c r="C793" s="84"/>
      <c r="D793" s="84"/>
    </row>
    <row r="794">
      <c r="B794" s="112"/>
      <c r="C794" s="84"/>
      <c r="D794" s="84"/>
    </row>
    <row r="795">
      <c r="B795" s="112"/>
      <c r="C795" s="84"/>
      <c r="D795" s="84"/>
    </row>
    <row r="796">
      <c r="B796" s="112"/>
      <c r="C796" s="84"/>
      <c r="D796" s="84"/>
    </row>
    <row r="797">
      <c r="B797" s="112"/>
      <c r="C797" s="84"/>
      <c r="D797" s="84"/>
    </row>
    <row r="798">
      <c r="B798" s="112"/>
      <c r="C798" s="84"/>
      <c r="D798" s="84"/>
    </row>
    <row r="799">
      <c r="B799" s="112"/>
      <c r="C799" s="84"/>
      <c r="D799" s="84"/>
    </row>
    <row r="800">
      <c r="B800" s="112"/>
      <c r="C800" s="84"/>
      <c r="D800" s="84"/>
    </row>
    <row r="801">
      <c r="B801" s="112"/>
      <c r="C801" s="84"/>
      <c r="D801" s="84"/>
    </row>
    <row r="802">
      <c r="B802" s="112"/>
      <c r="C802" s="84"/>
      <c r="D802" s="84"/>
    </row>
    <row r="803">
      <c r="B803" s="112"/>
      <c r="C803" s="84"/>
      <c r="D803" s="84"/>
    </row>
    <row r="804">
      <c r="B804" s="112"/>
      <c r="C804" s="84"/>
      <c r="D804" s="84"/>
    </row>
    <row r="805">
      <c r="B805" s="112"/>
      <c r="C805" s="84"/>
      <c r="D805" s="84"/>
    </row>
    <row r="806">
      <c r="B806" s="112"/>
      <c r="C806" s="84"/>
      <c r="D806" s="84"/>
    </row>
    <row r="807">
      <c r="B807" s="112"/>
      <c r="C807" s="84"/>
      <c r="D807" s="84"/>
    </row>
    <row r="808">
      <c r="B808" s="112"/>
      <c r="C808" s="84"/>
      <c r="D808" s="84"/>
    </row>
    <row r="809">
      <c r="B809" s="112"/>
      <c r="C809" s="84"/>
      <c r="D809" s="84"/>
    </row>
    <row r="810">
      <c r="B810" s="112"/>
      <c r="C810" s="84"/>
      <c r="D810" s="84"/>
    </row>
    <row r="811">
      <c r="B811" s="112"/>
      <c r="C811" s="84"/>
      <c r="D811" s="84"/>
    </row>
    <row r="812">
      <c r="B812" s="112"/>
      <c r="C812" s="84"/>
      <c r="D812" s="84"/>
    </row>
    <row r="813">
      <c r="B813" s="112"/>
      <c r="C813" s="84"/>
      <c r="D813" s="84"/>
    </row>
    <row r="814">
      <c r="B814" s="112"/>
      <c r="C814" s="84"/>
      <c r="D814" s="84"/>
    </row>
    <row r="815">
      <c r="B815" s="112"/>
      <c r="C815" s="84"/>
      <c r="D815" s="84"/>
    </row>
    <row r="816">
      <c r="B816" s="112"/>
      <c r="C816" s="84"/>
      <c r="D816" s="84"/>
    </row>
    <row r="817">
      <c r="B817" s="112"/>
      <c r="C817" s="84"/>
      <c r="D817" s="84"/>
    </row>
    <row r="818">
      <c r="B818" s="112"/>
      <c r="C818" s="84"/>
      <c r="D818" s="84"/>
    </row>
    <row r="819">
      <c r="B819" s="112"/>
      <c r="C819" s="84"/>
      <c r="D819" s="84"/>
    </row>
    <row r="820">
      <c r="B820" s="112"/>
      <c r="C820" s="84"/>
      <c r="D820" s="84"/>
    </row>
    <row r="821">
      <c r="B821" s="112"/>
      <c r="C821" s="84"/>
      <c r="D821" s="84"/>
    </row>
    <row r="822">
      <c r="B822" s="112"/>
      <c r="C822" s="84"/>
      <c r="D822" s="84"/>
    </row>
    <row r="823">
      <c r="B823" s="112"/>
      <c r="C823" s="84"/>
      <c r="D823" s="84"/>
    </row>
    <row r="824">
      <c r="B824" s="112"/>
      <c r="C824" s="84"/>
      <c r="D824" s="84"/>
    </row>
    <row r="825">
      <c r="B825" s="112"/>
      <c r="C825" s="84"/>
      <c r="D825" s="84"/>
    </row>
    <row r="826">
      <c r="B826" s="112"/>
      <c r="C826" s="84"/>
      <c r="D826" s="84"/>
    </row>
    <row r="827">
      <c r="B827" s="112"/>
      <c r="C827" s="84"/>
      <c r="D827" s="84"/>
    </row>
    <row r="828">
      <c r="B828" s="112"/>
      <c r="C828" s="84"/>
      <c r="D828" s="84"/>
    </row>
    <row r="829">
      <c r="B829" s="112"/>
      <c r="C829" s="84"/>
      <c r="D829" s="84"/>
    </row>
    <row r="830">
      <c r="B830" s="112"/>
      <c r="C830" s="84"/>
      <c r="D830" s="84"/>
    </row>
    <row r="831">
      <c r="B831" s="112"/>
      <c r="C831" s="84"/>
      <c r="D831" s="84"/>
    </row>
    <row r="832">
      <c r="B832" s="112"/>
      <c r="C832" s="84"/>
      <c r="D832" s="84"/>
    </row>
    <row r="833">
      <c r="B833" s="112"/>
      <c r="C833" s="84"/>
      <c r="D833" s="84"/>
    </row>
    <row r="834">
      <c r="B834" s="112"/>
      <c r="C834" s="84"/>
      <c r="D834" s="84"/>
    </row>
    <row r="835">
      <c r="B835" s="112"/>
      <c r="C835" s="84"/>
      <c r="D835" s="84"/>
    </row>
    <row r="836">
      <c r="B836" s="112"/>
      <c r="C836" s="84"/>
      <c r="D836" s="84"/>
    </row>
    <row r="837">
      <c r="B837" s="112"/>
      <c r="C837" s="84"/>
      <c r="D837" s="84"/>
    </row>
    <row r="838">
      <c r="B838" s="112"/>
      <c r="C838" s="84"/>
      <c r="D838" s="84"/>
    </row>
    <row r="839">
      <c r="B839" s="112"/>
      <c r="C839" s="84"/>
      <c r="D839" s="84"/>
    </row>
    <row r="840">
      <c r="B840" s="112"/>
      <c r="C840" s="84"/>
      <c r="D840" s="84"/>
    </row>
    <row r="841">
      <c r="B841" s="112"/>
      <c r="C841" s="84"/>
      <c r="D841" s="84"/>
    </row>
    <row r="842">
      <c r="B842" s="112"/>
      <c r="C842" s="84"/>
      <c r="D842" s="84"/>
    </row>
    <row r="843">
      <c r="B843" s="112"/>
      <c r="C843" s="84"/>
      <c r="D843" s="84"/>
    </row>
    <row r="844">
      <c r="B844" s="112"/>
      <c r="C844" s="84"/>
      <c r="D844" s="84"/>
    </row>
    <row r="845">
      <c r="B845" s="112"/>
      <c r="C845" s="84"/>
      <c r="D845" s="84"/>
    </row>
    <row r="846">
      <c r="B846" s="112"/>
      <c r="C846" s="84"/>
      <c r="D846" s="84"/>
    </row>
    <row r="847">
      <c r="B847" s="112"/>
      <c r="C847" s="84"/>
      <c r="D847" s="84"/>
    </row>
    <row r="848">
      <c r="B848" s="112"/>
      <c r="C848" s="84"/>
      <c r="D848" s="84"/>
    </row>
    <row r="849">
      <c r="B849" s="112"/>
      <c r="C849" s="84"/>
      <c r="D849" s="84"/>
    </row>
    <row r="850">
      <c r="B850" s="112"/>
      <c r="C850" s="84"/>
      <c r="D850" s="84"/>
    </row>
    <row r="851">
      <c r="B851" s="112"/>
      <c r="C851" s="84"/>
      <c r="D851" s="84"/>
    </row>
    <row r="852">
      <c r="B852" s="112"/>
      <c r="C852" s="84"/>
      <c r="D852" s="84"/>
    </row>
    <row r="853">
      <c r="B853" s="112"/>
      <c r="C853" s="84"/>
      <c r="D853" s="84"/>
    </row>
    <row r="854">
      <c r="B854" s="112"/>
      <c r="C854" s="84"/>
      <c r="D854" s="84"/>
    </row>
    <row r="855">
      <c r="B855" s="112"/>
      <c r="C855" s="84"/>
      <c r="D855" s="84"/>
    </row>
    <row r="856">
      <c r="B856" s="112"/>
      <c r="C856" s="84"/>
      <c r="D856" s="84"/>
    </row>
    <row r="857">
      <c r="B857" s="112"/>
      <c r="C857" s="84"/>
      <c r="D857" s="84"/>
    </row>
    <row r="858">
      <c r="B858" s="112"/>
      <c r="C858" s="84"/>
      <c r="D858" s="84"/>
    </row>
    <row r="859">
      <c r="B859" s="112"/>
      <c r="C859" s="84"/>
      <c r="D859" s="84"/>
    </row>
    <row r="860">
      <c r="B860" s="112"/>
      <c r="C860" s="84"/>
      <c r="D860" s="84"/>
    </row>
    <row r="861">
      <c r="B861" s="112"/>
      <c r="C861" s="84"/>
      <c r="D861" s="84"/>
    </row>
    <row r="862">
      <c r="B862" s="112"/>
      <c r="C862" s="84"/>
      <c r="D862" s="84"/>
    </row>
    <row r="863">
      <c r="B863" s="112"/>
      <c r="C863" s="84"/>
      <c r="D863" s="84"/>
    </row>
    <row r="864">
      <c r="B864" s="112"/>
      <c r="C864" s="84"/>
      <c r="D864" s="84"/>
    </row>
    <row r="865">
      <c r="B865" s="112"/>
      <c r="C865" s="84"/>
      <c r="D865" s="84"/>
    </row>
    <row r="866">
      <c r="B866" s="112"/>
      <c r="C866" s="84"/>
      <c r="D866" s="84"/>
    </row>
    <row r="867">
      <c r="B867" s="112"/>
      <c r="C867" s="84"/>
      <c r="D867" s="84"/>
    </row>
    <row r="868">
      <c r="B868" s="112"/>
      <c r="C868" s="84"/>
      <c r="D868" s="84"/>
    </row>
    <row r="869">
      <c r="B869" s="112"/>
      <c r="C869" s="84"/>
      <c r="D869" s="84"/>
    </row>
    <row r="870">
      <c r="B870" s="112"/>
      <c r="C870" s="84"/>
      <c r="D870" s="84"/>
    </row>
    <row r="871">
      <c r="B871" s="112"/>
      <c r="C871" s="84"/>
      <c r="D871" s="84"/>
    </row>
    <row r="872">
      <c r="B872" s="112"/>
      <c r="C872" s="84"/>
      <c r="D872" s="84"/>
    </row>
    <row r="873">
      <c r="B873" s="112"/>
      <c r="C873" s="84"/>
      <c r="D873" s="84"/>
    </row>
    <row r="874">
      <c r="B874" s="112"/>
      <c r="C874" s="84"/>
      <c r="D874" s="84"/>
    </row>
    <row r="875">
      <c r="B875" s="112"/>
      <c r="C875" s="84"/>
      <c r="D875" s="84"/>
    </row>
    <row r="876">
      <c r="B876" s="112"/>
      <c r="C876" s="84"/>
      <c r="D876" s="84"/>
    </row>
    <row r="877">
      <c r="B877" s="112"/>
      <c r="C877" s="84"/>
      <c r="D877" s="84"/>
    </row>
    <row r="878">
      <c r="B878" s="112"/>
      <c r="C878" s="84"/>
      <c r="D878" s="84"/>
    </row>
    <row r="879">
      <c r="B879" s="112"/>
      <c r="C879" s="84"/>
      <c r="D879" s="84"/>
    </row>
    <row r="880">
      <c r="B880" s="112"/>
      <c r="C880" s="84"/>
      <c r="D880" s="84"/>
    </row>
    <row r="881">
      <c r="B881" s="112"/>
      <c r="C881" s="84"/>
      <c r="D881" s="84"/>
    </row>
    <row r="882">
      <c r="B882" s="112"/>
      <c r="C882" s="84"/>
      <c r="D882" s="84"/>
    </row>
    <row r="883">
      <c r="B883" s="112"/>
      <c r="C883" s="84"/>
      <c r="D883" s="84"/>
    </row>
    <row r="884">
      <c r="B884" s="112"/>
      <c r="C884" s="84"/>
      <c r="D884" s="84"/>
    </row>
    <row r="885">
      <c r="B885" s="112"/>
      <c r="C885" s="84"/>
      <c r="D885" s="84"/>
    </row>
    <row r="886">
      <c r="B886" s="112"/>
      <c r="C886" s="84"/>
      <c r="D886" s="84"/>
    </row>
    <row r="887">
      <c r="B887" s="112"/>
      <c r="C887" s="84"/>
      <c r="D887" s="84"/>
    </row>
    <row r="888">
      <c r="B888" s="112"/>
      <c r="C888" s="84"/>
      <c r="D888" s="84"/>
    </row>
    <row r="889">
      <c r="B889" s="112"/>
      <c r="C889" s="84"/>
      <c r="D889" s="84"/>
    </row>
    <row r="890">
      <c r="B890" s="112"/>
      <c r="C890" s="84"/>
      <c r="D890" s="84"/>
    </row>
    <row r="891">
      <c r="B891" s="112"/>
      <c r="C891" s="84"/>
      <c r="D891" s="84"/>
    </row>
    <row r="892">
      <c r="B892" s="112"/>
      <c r="C892" s="84"/>
      <c r="D892" s="84"/>
    </row>
    <row r="893">
      <c r="B893" s="112"/>
      <c r="C893" s="84"/>
      <c r="D893" s="84"/>
    </row>
    <row r="894">
      <c r="B894" s="112"/>
      <c r="C894" s="84"/>
      <c r="D894" s="84"/>
    </row>
    <row r="895">
      <c r="B895" s="112"/>
      <c r="C895" s="84"/>
      <c r="D895" s="84"/>
    </row>
    <row r="896">
      <c r="B896" s="112"/>
      <c r="C896" s="84"/>
      <c r="D896" s="84"/>
    </row>
    <row r="897">
      <c r="B897" s="112"/>
      <c r="C897" s="84"/>
      <c r="D897" s="84"/>
    </row>
    <row r="898">
      <c r="B898" s="112"/>
      <c r="C898" s="84"/>
      <c r="D898" s="84"/>
    </row>
    <row r="899">
      <c r="B899" s="112"/>
      <c r="C899" s="84"/>
      <c r="D899" s="84"/>
    </row>
    <row r="900">
      <c r="B900" s="112"/>
      <c r="C900" s="84"/>
      <c r="D900" s="84"/>
    </row>
    <row r="901">
      <c r="B901" s="112"/>
      <c r="C901" s="84"/>
      <c r="D901" s="84"/>
    </row>
    <row r="902">
      <c r="B902" s="112"/>
      <c r="C902" s="84"/>
      <c r="D902" s="84"/>
    </row>
    <row r="903">
      <c r="B903" s="112"/>
      <c r="C903" s="84"/>
      <c r="D903" s="84"/>
    </row>
    <row r="904">
      <c r="B904" s="112"/>
      <c r="C904" s="84"/>
      <c r="D904" s="84"/>
    </row>
    <row r="905">
      <c r="B905" s="112"/>
      <c r="C905" s="84"/>
      <c r="D905" s="84"/>
    </row>
    <row r="906">
      <c r="B906" s="112"/>
      <c r="C906" s="84"/>
      <c r="D906" s="84"/>
    </row>
    <row r="907">
      <c r="B907" s="112"/>
      <c r="C907" s="84"/>
      <c r="D907" s="84"/>
    </row>
    <row r="908">
      <c r="B908" s="112"/>
      <c r="C908" s="84"/>
      <c r="D908" s="84"/>
    </row>
    <row r="909">
      <c r="B909" s="112"/>
      <c r="C909" s="84"/>
      <c r="D909" s="84"/>
    </row>
    <row r="910">
      <c r="B910" s="112"/>
      <c r="C910" s="84"/>
      <c r="D910" s="84"/>
    </row>
    <row r="911">
      <c r="B911" s="112"/>
      <c r="C911" s="84"/>
      <c r="D911" s="84"/>
    </row>
    <row r="912">
      <c r="B912" s="112"/>
      <c r="C912" s="84"/>
      <c r="D912" s="84"/>
    </row>
    <row r="913">
      <c r="B913" s="112"/>
      <c r="C913" s="84"/>
      <c r="D913" s="84"/>
    </row>
    <row r="914">
      <c r="B914" s="112"/>
      <c r="C914" s="84"/>
      <c r="D914" s="84"/>
    </row>
    <row r="915">
      <c r="B915" s="112"/>
      <c r="C915" s="84"/>
      <c r="D915" s="84"/>
    </row>
    <row r="916">
      <c r="B916" s="112"/>
      <c r="C916" s="84"/>
      <c r="D916" s="84"/>
    </row>
    <row r="917">
      <c r="B917" s="112"/>
      <c r="C917" s="84"/>
      <c r="D917" s="84"/>
    </row>
    <row r="918">
      <c r="B918" s="112"/>
      <c r="C918" s="84"/>
      <c r="D918" s="84"/>
    </row>
    <row r="919">
      <c r="B919" s="112"/>
      <c r="C919" s="84"/>
      <c r="D919" s="84"/>
    </row>
    <row r="920">
      <c r="B920" s="112"/>
      <c r="C920" s="84"/>
      <c r="D920" s="84"/>
    </row>
    <row r="921">
      <c r="B921" s="112"/>
      <c r="C921" s="84"/>
      <c r="D921" s="84"/>
    </row>
    <row r="922">
      <c r="B922" s="112"/>
      <c r="C922" s="84"/>
      <c r="D922" s="84"/>
    </row>
    <row r="923">
      <c r="B923" s="112"/>
      <c r="C923" s="84"/>
      <c r="D923" s="84"/>
    </row>
    <row r="924">
      <c r="B924" s="112"/>
      <c r="C924" s="84"/>
      <c r="D924" s="84"/>
    </row>
    <row r="925">
      <c r="B925" s="112"/>
      <c r="C925" s="84"/>
      <c r="D925" s="84"/>
    </row>
    <row r="926">
      <c r="B926" s="112"/>
      <c r="C926" s="84"/>
      <c r="D926" s="84"/>
    </row>
    <row r="927">
      <c r="B927" s="112"/>
      <c r="C927" s="84"/>
      <c r="D927" s="84"/>
    </row>
    <row r="928">
      <c r="B928" s="112"/>
      <c r="C928" s="84"/>
      <c r="D928" s="84"/>
    </row>
    <row r="929">
      <c r="B929" s="112"/>
      <c r="C929" s="84"/>
      <c r="D929" s="84"/>
    </row>
    <row r="930">
      <c r="B930" s="112"/>
      <c r="C930" s="84"/>
      <c r="D930" s="84"/>
    </row>
    <row r="931">
      <c r="B931" s="112"/>
      <c r="C931" s="84"/>
      <c r="D931" s="84"/>
    </row>
    <row r="932">
      <c r="B932" s="112"/>
      <c r="C932" s="84"/>
      <c r="D932" s="84"/>
    </row>
    <row r="933">
      <c r="B933" s="112"/>
      <c r="C933" s="84"/>
      <c r="D933" s="84"/>
    </row>
    <row r="934">
      <c r="B934" s="112"/>
      <c r="C934" s="84"/>
      <c r="D934" s="84"/>
    </row>
    <row r="935">
      <c r="B935" s="112"/>
      <c r="C935" s="84"/>
      <c r="D935" s="84"/>
    </row>
    <row r="936">
      <c r="B936" s="112"/>
      <c r="C936" s="84"/>
      <c r="D936" s="84"/>
    </row>
    <row r="937">
      <c r="B937" s="112"/>
      <c r="C937" s="84"/>
      <c r="D937" s="84"/>
    </row>
    <row r="938">
      <c r="B938" s="112"/>
      <c r="C938" s="84"/>
      <c r="D938" s="84"/>
    </row>
    <row r="939">
      <c r="B939" s="112"/>
      <c r="C939" s="84"/>
      <c r="D939" s="84"/>
    </row>
    <row r="940">
      <c r="B940" s="112"/>
      <c r="C940" s="84"/>
      <c r="D940" s="84"/>
    </row>
    <row r="941">
      <c r="B941" s="112"/>
      <c r="C941" s="84"/>
      <c r="D941" s="84"/>
    </row>
    <row r="942">
      <c r="B942" s="112"/>
      <c r="C942" s="84"/>
      <c r="D942" s="84"/>
    </row>
    <row r="943">
      <c r="B943" s="112"/>
      <c r="C943" s="84"/>
      <c r="D943" s="84"/>
    </row>
    <row r="944">
      <c r="B944" s="112"/>
      <c r="C944" s="84"/>
      <c r="D944" s="84"/>
    </row>
    <row r="945">
      <c r="B945" s="112"/>
      <c r="C945" s="84"/>
      <c r="D945" s="84"/>
    </row>
    <row r="946">
      <c r="B946" s="112"/>
      <c r="C946" s="84"/>
      <c r="D946" s="84"/>
    </row>
    <row r="947">
      <c r="B947" s="112"/>
      <c r="C947" s="84"/>
      <c r="D947" s="84"/>
    </row>
    <row r="948">
      <c r="B948" s="112"/>
      <c r="C948" s="84"/>
      <c r="D948" s="84"/>
    </row>
    <row r="949">
      <c r="B949" s="112"/>
      <c r="C949" s="84"/>
      <c r="D949" s="84"/>
    </row>
    <row r="950">
      <c r="B950" s="112"/>
      <c r="C950" s="84"/>
      <c r="D950" s="84"/>
    </row>
    <row r="951">
      <c r="B951" s="112"/>
      <c r="C951" s="84"/>
      <c r="D951" s="84"/>
    </row>
    <row r="952">
      <c r="B952" s="112"/>
      <c r="C952" s="84"/>
      <c r="D952" s="84"/>
    </row>
    <row r="953">
      <c r="B953" s="112"/>
      <c r="C953" s="84"/>
      <c r="D953" s="84"/>
    </row>
    <row r="954">
      <c r="B954" s="112"/>
      <c r="C954" s="84"/>
      <c r="D954" s="84"/>
    </row>
    <row r="955">
      <c r="B955" s="112"/>
      <c r="C955" s="84"/>
      <c r="D955" s="84"/>
    </row>
    <row r="956">
      <c r="B956" s="112"/>
      <c r="C956" s="84"/>
      <c r="D956" s="84"/>
    </row>
    <row r="957">
      <c r="B957" s="112"/>
      <c r="C957" s="84"/>
      <c r="D957" s="84"/>
    </row>
    <row r="958">
      <c r="B958" s="112"/>
      <c r="C958" s="84"/>
      <c r="D958" s="84"/>
    </row>
    <row r="959">
      <c r="B959" s="112"/>
      <c r="C959" s="84"/>
      <c r="D959" s="84"/>
    </row>
    <row r="960">
      <c r="B960" s="112"/>
      <c r="C960" s="84"/>
      <c r="D960" s="84"/>
    </row>
    <row r="961">
      <c r="B961" s="112"/>
      <c r="C961" s="84"/>
      <c r="D961" s="84"/>
    </row>
    <row r="962">
      <c r="B962" s="112"/>
      <c r="C962" s="84"/>
      <c r="D962" s="84"/>
    </row>
    <row r="963">
      <c r="B963" s="112"/>
      <c r="C963" s="84"/>
      <c r="D963" s="84"/>
    </row>
    <row r="964">
      <c r="B964" s="112"/>
      <c r="C964" s="84"/>
      <c r="D964" s="84"/>
    </row>
    <row r="965">
      <c r="B965" s="112"/>
      <c r="C965" s="84"/>
      <c r="D965" s="84"/>
    </row>
    <row r="966">
      <c r="B966" s="112"/>
      <c r="C966" s="84"/>
      <c r="D966" s="84"/>
    </row>
    <row r="967">
      <c r="B967" s="112"/>
      <c r="C967" s="84"/>
      <c r="D967" s="84"/>
    </row>
    <row r="968">
      <c r="B968" s="112"/>
      <c r="C968" s="84"/>
      <c r="D968" s="84"/>
    </row>
    <row r="969">
      <c r="B969" s="112"/>
      <c r="C969" s="84"/>
      <c r="D969" s="84"/>
    </row>
    <row r="970">
      <c r="B970" s="112"/>
      <c r="C970" s="84"/>
      <c r="D970" s="84"/>
    </row>
    <row r="971">
      <c r="B971" s="112"/>
      <c r="C971" s="84"/>
      <c r="D971" s="84"/>
    </row>
    <row r="972">
      <c r="B972" s="112"/>
      <c r="C972" s="84"/>
      <c r="D972" s="84"/>
    </row>
    <row r="973">
      <c r="B973" s="112"/>
      <c r="C973" s="84"/>
      <c r="D973" s="84"/>
    </row>
    <row r="974">
      <c r="B974" s="112"/>
      <c r="C974" s="84"/>
      <c r="D974" s="84"/>
    </row>
    <row r="975">
      <c r="B975" s="112"/>
      <c r="C975" s="84"/>
      <c r="D975" s="84"/>
    </row>
    <row r="976">
      <c r="B976" s="112"/>
      <c r="C976" s="84"/>
      <c r="D976" s="84"/>
    </row>
    <row r="977">
      <c r="B977" s="112"/>
      <c r="C977" s="84"/>
      <c r="D977" s="84"/>
    </row>
    <row r="978">
      <c r="B978" s="112"/>
      <c r="C978" s="84"/>
      <c r="D978" s="84"/>
    </row>
    <row r="979">
      <c r="B979" s="112"/>
      <c r="C979" s="84"/>
      <c r="D979" s="84"/>
    </row>
    <row r="980">
      <c r="B980" s="112"/>
      <c r="C980" s="84"/>
      <c r="D980" s="84"/>
    </row>
    <row r="981">
      <c r="B981" s="112"/>
      <c r="C981" s="84"/>
      <c r="D981" s="84"/>
    </row>
    <row r="982">
      <c r="B982" s="112"/>
      <c r="C982" s="84"/>
      <c r="D982" s="84"/>
    </row>
    <row r="983">
      <c r="B983" s="112"/>
      <c r="C983" s="84"/>
      <c r="D983" s="84"/>
    </row>
    <row r="984">
      <c r="B984" s="112"/>
      <c r="C984" s="84"/>
      <c r="D984" s="84"/>
    </row>
    <row r="985">
      <c r="B985" s="112"/>
      <c r="C985" s="84"/>
      <c r="D985" s="84"/>
    </row>
    <row r="986">
      <c r="B986" s="112"/>
      <c r="C986" s="84"/>
      <c r="D986" s="84"/>
    </row>
    <row r="987">
      <c r="B987" s="112"/>
      <c r="C987" s="84"/>
      <c r="D987" s="84"/>
    </row>
    <row r="988">
      <c r="B988" s="112"/>
      <c r="C988" s="84"/>
      <c r="D988" s="84"/>
    </row>
    <row r="989">
      <c r="B989" s="112"/>
      <c r="C989" s="84"/>
      <c r="D989" s="84"/>
    </row>
    <row r="990">
      <c r="B990" s="112"/>
      <c r="C990" s="84"/>
      <c r="D990" s="84"/>
    </row>
    <row r="991">
      <c r="B991" s="112"/>
      <c r="C991" s="84"/>
      <c r="D991" s="84"/>
    </row>
    <row r="992">
      <c r="B992" s="112"/>
      <c r="C992" s="84"/>
      <c r="D992" s="84"/>
    </row>
    <row r="993">
      <c r="B993" s="112"/>
      <c r="C993" s="84"/>
      <c r="D993" s="84"/>
    </row>
    <row r="994">
      <c r="B994" s="112"/>
      <c r="C994" s="84"/>
      <c r="D994" s="84"/>
    </row>
    <row r="995">
      <c r="B995" s="112"/>
      <c r="C995" s="84"/>
      <c r="D995" s="84"/>
    </row>
    <row r="996">
      <c r="B996" s="112"/>
      <c r="C996" s="84"/>
      <c r="D996" s="84"/>
    </row>
    <row r="997">
      <c r="B997" s="112"/>
      <c r="C997" s="84"/>
      <c r="D997" s="84"/>
    </row>
    <row r="998">
      <c r="B998" s="112"/>
      <c r="C998" s="84"/>
      <c r="D998" s="84"/>
    </row>
    <row r="999">
      <c r="B999" s="112"/>
      <c r="C999" s="84"/>
      <c r="D999" s="84"/>
    </row>
    <row r="1000">
      <c r="B1000" s="112"/>
      <c r="C1000" s="84"/>
      <c r="D1000" s="84"/>
    </row>
    <row r="1001">
      <c r="B1001" s="112"/>
      <c r="C1001" s="84"/>
      <c r="D1001" s="84"/>
    </row>
    <row r="1002">
      <c r="B1002" s="112"/>
      <c r="C1002" s="84"/>
      <c r="D1002" s="84"/>
    </row>
    <row r="1003">
      <c r="B1003" s="112"/>
      <c r="C1003" s="84"/>
      <c r="D1003" s="84"/>
    </row>
    <row r="1004">
      <c r="B1004" s="112"/>
      <c r="C1004" s="84"/>
      <c r="D1004" s="84"/>
    </row>
    <row r="1005">
      <c r="B1005" s="112"/>
      <c r="C1005" s="84"/>
      <c r="D1005" s="84"/>
    </row>
    <row r="1006">
      <c r="B1006" s="112"/>
      <c r="C1006" s="84"/>
      <c r="D1006" s="84"/>
    </row>
    <row r="1007">
      <c r="B1007" s="112"/>
      <c r="C1007" s="84"/>
      <c r="D1007" s="84"/>
    </row>
    <row r="1008">
      <c r="B1008" s="112"/>
      <c r="C1008" s="84"/>
      <c r="D1008" s="84"/>
    </row>
    <row r="1009">
      <c r="B1009" s="112"/>
      <c r="C1009" s="84"/>
      <c r="D1009" s="84"/>
    </row>
    <row r="1010">
      <c r="B1010" s="112"/>
      <c r="C1010" s="84"/>
      <c r="D1010" s="84"/>
    </row>
    <row r="1011">
      <c r="B1011" s="112"/>
      <c r="C1011" s="84"/>
      <c r="D1011" s="84"/>
    </row>
    <row r="1012">
      <c r="B1012" s="112"/>
      <c r="C1012" s="84"/>
      <c r="D1012" s="84"/>
    </row>
    <row r="1013">
      <c r="B1013" s="112"/>
      <c r="C1013" s="84"/>
      <c r="D1013" s="84"/>
    </row>
    <row r="1014">
      <c r="B1014" s="112"/>
      <c r="C1014" s="84"/>
      <c r="D1014" s="84"/>
    </row>
    <row r="1015">
      <c r="B1015" s="112"/>
      <c r="C1015" s="84"/>
      <c r="D1015" s="84"/>
    </row>
    <row r="1016">
      <c r="B1016" s="112"/>
      <c r="C1016" s="84"/>
      <c r="D1016" s="84"/>
    </row>
    <row r="1017">
      <c r="B1017" s="112"/>
      <c r="C1017" s="84"/>
      <c r="D1017" s="84"/>
    </row>
    <row r="1018">
      <c r="B1018" s="112"/>
      <c r="C1018" s="84"/>
      <c r="D1018" s="84"/>
    </row>
    <row r="1019">
      <c r="B1019" s="112"/>
      <c r="C1019" s="84"/>
      <c r="D1019" s="84"/>
    </row>
    <row r="1020">
      <c r="B1020" s="112"/>
      <c r="C1020" s="84"/>
      <c r="D1020" s="84"/>
    </row>
    <row r="1021">
      <c r="B1021" s="112"/>
      <c r="C1021" s="84"/>
      <c r="D1021" s="84"/>
    </row>
    <row r="1022">
      <c r="B1022" s="112"/>
      <c r="C1022" s="84"/>
      <c r="D1022" s="84"/>
    </row>
    <row r="1023">
      <c r="B1023" s="112"/>
      <c r="C1023" s="84"/>
      <c r="D1023" s="84"/>
    </row>
    <row r="1024">
      <c r="B1024" s="112"/>
      <c r="C1024" s="84"/>
      <c r="D1024" s="84"/>
    </row>
    <row r="1025">
      <c r="B1025" s="112"/>
      <c r="C1025" s="84"/>
      <c r="D1025" s="84"/>
    </row>
    <row r="1026">
      <c r="B1026" s="112"/>
      <c r="C1026" s="84"/>
      <c r="D1026" s="84"/>
    </row>
    <row r="1027">
      <c r="B1027" s="112"/>
      <c r="C1027" s="84"/>
      <c r="D1027" s="84"/>
    </row>
    <row r="1028">
      <c r="B1028" s="112"/>
      <c r="C1028" s="84"/>
      <c r="D1028" s="84"/>
    </row>
    <row r="1029">
      <c r="B1029" s="112"/>
      <c r="C1029" s="84"/>
      <c r="D1029" s="84"/>
    </row>
    <row r="1030">
      <c r="B1030" s="112"/>
      <c r="C1030" s="84"/>
      <c r="D1030" s="84"/>
    </row>
    <row r="1031">
      <c r="B1031" s="112"/>
      <c r="C1031" s="84"/>
      <c r="D1031" s="8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8" t="s">
        <v>182</v>
      </c>
      <c r="B1" s="29" t="s">
        <v>10</v>
      </c>
      <c r="C1" s="30" t="s">
        <v>184</v>
      </c>
      <c r="D1" s="28" t="s">
        <v>118</v>
      </c>
      <c r="E1" s="28" t="s">
        <v>187</v>
      </c>
      <c r="F1" s="29" t="s">
        <v>188</v>
      </c>
      <c r="G1" s="28" t="s">
        <v>189</v>
      </c>
      <c r="H1" s="31" t="s">
        <v>190</v>
      </c>
      <c r="I1" s="32" t="s">
        <v>193</v>
      </c>
      <c r="J1" s="32" t="s">
        <v>194</v>
      </c>
      <c r="K1" s="31" t="s">
        <v>195</v>
      </c>
      <c r="L1" s="33" t="s">
        <v>196</v>
      </c>
      <c r="M1" s="33" t="s">
        <v>197</v>
      </c>
      <c r="N1" s="32" t="s">
        <v>198</v>
      </c>
    </row>
    <row r="2">
      <c r="A2" s="34">
        <v>45218.0</v>
      </c>
      <c r="B2" s="35">
        <v>51.755</v>
      </c>
      <c r="C2" s="36"/>
      <c r="D2" s="36"/>
      <c r="E2" s="36"/>
      <c r="F2" s="36"/>
      <c r="G2" s="38"/>
      <c r="H2" s="39"/>
      <c r="I2" s="39"/>
      <c r="J2" s="39"/>
      <c r="K2" s="39"/>
      <c r="L2" s="39"/>
      <c r="M2" s="39"/>
      <c r="N2" s="39"/>
    </row>
    <row r="3">
      <c r="A3" s="34">
        <v>45221.0</v>
      </c>
      <c r="B3" s="35">
        <v>74.21</v>
      </c>
      <c r="C3" s="36"/>
      <c r="D3" s="36"/>
      <c r="E3" s="36"/>
      <c r="F3" s="36"/>
      <c r="G3" s="38"/>
      <c r="H3" s="39"/>
      <c r="I3" s="39"/>
      <c r="J3" s="39"/>
      <c r="K3" s="39"/>
      <c r="L3" s="39"/>
      <c r="M3" s="39"/>
      <c r="N3" s="39"/>
    </row>
    <row r="4">
      <c r="A4" s="34">
        <v>45224.0</v>
      </c>
      <c r="B4" s="35">
        <v>88.53</v>
      </c>
      <c r="C4" s="36"/>
      <c r="D4" s="36"/>
      <c r="E4" s="36"/>
      <c r="F4" s="36"/>
      <c r="G4" s="38"/>
      <c r="H4" s="39"/>
      <c r="I4" s="39"/>
      <c r="J4" s="39"/>
      <c r="K4" s="39"/>
      <c r="L4" s="39"/>
      <c r="M4" s="39"/>
      <c r="N4" s="39"/>
    </row>
    <row r="5">
      <c r="A5" s="34">
        <v>45226.0</v>
      </c>
      <c r="B5" s="35">
        <v>25.46</v>
      </c>
      <c r="C5" s="36"/>
      <c r="D5" s="36"/>
      <c r="E5" s="36"/>
      <c r="F5" s="36"/>
      <c r="G5" s="38"/>
      <c r="H5" s="39"/>
      <c r="I5" s="39"/>
      <c r="J5" s="39"/>
      <c r="K5" s="39"/>
      <c r="L5" s="39"/>
      <c r="M5" s="39"/>
      <c r="N5" s="39"/>
    </row>
    <row r="6">
      <c r="A6" s="34">
        <v>45228.0</v>
      </c>
      <c r="B6" s="35">
        <v>72.28</v>
      </c>
      <c r="C6" s="36"/>
      <c r="D6" s="36"/>
      <c r="E6" s="36"/>
      <c r="F6" s="36"/>
      <c r="G6" s="38"/>
      <c r="H6" s="39"/>
      <c r="I6" s="39"/>
      <c r="J6" s="39"/>
      <c r="K6" s="39"/>
      <c r="L6" s="39"/>
      <c r="M6" s="39"/>
      <c r="N6" s="39"/>
    </row>
    <row r="7">
      <c r="A7" s="34">
        <v>45233.0</v>
      </c>
      <c r="B7" s="35">
        <v>102.65</v>
      </c>
      <c r="C7" s="36"/>
      <c r="D7" s="36"/>
      <c r="E7" s="36"/>
      <c r="F7" s="36"/>
      <c r="G7" s="38"/>
      <c r="H7" s="39"/>
      <c r="I7" s="39"/>
      <c r="J7" s="39"/>
      <c r="K7" s="39"/>
      <c r="L7" s="39"/>
      <c r="M7" s="39"/>
      <c r="N7" s="39"/>
    </row>
    <row r="8">
      <c r="A8" s="34">
        <v>45236.0</v>
      </c>
      <c r="B8" s="35">
        <v>108.149</v>
      </c>
      <c r="C8" s="36"/>
      <c r="D8" s="36"/>
      <c r="E8" s="36"/>
      <c r="F8" s="36"/>
      <c r="G8" s="38"/>
      <c r="H8" s="39"/>
      <c r="I8" s="39"/>
      <c r="J8" s="39"/>
      <c r="K8" s="39"/>
      <c r="L8" s="39"/>
      <c r="M8" s="39"/>
      <c r="N8" s="39"/>
    </row>
    <row r="9">
      <c r="A9" s="34">
        <v>45240.0</v>
      </c>
      <c r="B9" s="35">
        <v>51.09</v>
      </c>
      <c r="C9" s="36"/>
      <c r="D9" s="36"/>
      <c r="E9" s="36"/>
      <c r="F9" s="36"/>
      <c r="G9" s="38"/>
      <c r="H9" s="39"/>
      <c r="I9" s="39"/>
      <c r="J9" s="39"/>
      <c r="K9" s="39"/>
      <c r="L9" s="39"/>
      <c r="M9" s="39"/>
      <c r="N9" s="39"/>
    </row>
    <row r="10">
      <c r="A10" s="34">
        <v>45247.0</v>
      </c>
      <c r="B10" s="35">
        <v>170.6</v>
      </c>
      <c r="C10" s="36"/>
      <c r="D10" s="36"/>
      <c r="E10" s="36"/>
      <c r="F10" s="36"/>
      <c r="G10" s="38"/>
      <c r="H10" s="39"/>
      <c r="I10" s="39"/>
      <c r="J10" s="39"/>
      <c r="K10" s="39"/>
      <c r="L10" s="39"/>
      <c r="M10" s="39"/>
      <c r="N10" s="39"/>
    </row>
    <row r="11">
      <c r="A11" s="34">
        <v>45251.0</v>
      </c>
      <c r="B11" s="35">
        <v>132.4</v>
      </c>
      <c r="C11" s="36"/>
      <c r="D11" s="36"/>
      <c r="E11" s="36"/>
      <c r="F11" s="36"/>
      <c r="G11" s="38"/>
      <c r="H11" s="39"/>
      <c r="I11" s="39"/>
      <c r="J11" s="39"/>
      <c r="K11" s="39"/>
      <c r="L11" s="39"/>
      <c r="M11" s="39"/>
      <c r="N11" s="39"/>
    </row>
    <row r="12">
      <c r="A12" s="34">
        <v>45258.0</v>
      </c>
      <c r="B12" s="35">
        <v>136.52</v>
      </c>
      <c r="C12" s="36"/>
      <c r="D12" s="36"/>
      <c r="E12" s="36"/>
      <c r="F12" s="36"/>
      <c r="G12" s="38"/>
      <c r="H12" s="39"/>
      <c r="I12" s="39"/>
      <c r="J12" s="39"/>
      <c r="K12" s="39"/>
      <c r="L12" s="39"/>
      <c r="M12" s="39"/>
      <c r="N12" s="39"/>
    </row>
    <row r="13">
      <c r="A13" s="34">
        <v>45265.0</v>
      </c>
      <c r="B13" s="35">
        <v>208.2</v>
      </c>
      <c r="C13" s="36"/>
      <c r="D13" s="36"/>
      <c r="E13" s="36"/>
      <c r="F13" s="36"/>
      <c r="G13" s="38"/>
      <c r="H13" s="39"/>
      <c r="I13" s="39"/>
      <c r="J13" s="39"/>
      <c r="K13" s="39"/>
      <c r="L13" s="39"/>
      <c r="M13" s="39"/>
      <c r="N13" s="39"/>
    </row>
    <row r="14">
      <c r="A14" s="34">
        <v>45269.0</v>
      </c>
      <c r="B14" s="35">
        <v>158.79</v>
      </c>
      <c r="C14" s="36"/>
      <c r="D14" s="36"/>
      <c r="E14" s="36"/>
      <c r="F14" s="36"/>
      <c r="G14" s="38"/>
      <c r="H14" s="39"/>
      <c r="I14" s="39"/>
      <c r="J14" s="39"/>
      <c r="K14" s="39"/>
      <c r="L14" s="39"/>
      <c r="M14" s="39"/>
      <c r="N14" s="39"/>
    </row>
    <row r="15">
      <c r="A15" s="34">
        <v>45272.0</v>
      </c>
      <c r="B15" s="35">
        <v>163.04</v>
      </c>
      <c r="C15" s="36"/>
      <c r="D15" s="36"/>
      <c r="E15" s="36"/>
      <c r="F15" s="36"/>
      <c r="G15" s="38"/>
      <c r="H15" s="39"/>
      <c r="I15" s="39"/>
      <c r="J15" s="39"/>
      <c r="K15" s="39"/>
      <c r="L15" s="39"/>
      <c r="M15" s="39"/>
      <c r="N15" s="39"/>
    </row>
    <row r="16">
      <c r="A16" s="34">
        <v>45275.0</v>
      </c>
      <c r="B16" s="35">
        <v>212.85</v>
      </c>
      <c r="C16" s="36"/>
      <c r="D16" s="36"/>
      <c r="E16" s="36"/>
      <c r="F16" s="36"/>
      <c r="G16" s="38"/>
      <c r="H16" s="39"/>
      <c r="I16" s="39"/>
      <c r="J16" s="39"/>
      <c r="K16" s="39"/>
      <c r="L16" s="39"/>
      <c r="M16" s="39"/>
      <c r="N16" s="39"/>
    </row>
    <row r="17">
      <c r="A17" s="34">
        <v>45279.0</v>
      </c>
      <c r="B17" s="35">
        <v>136.87</v>
      </c>
      <c r="C17" s="36"/>
      <c r="D17" s="36"/>
      <c r="E17" s="36"/>
      <c r="F17" s="36"/>
      <c r="G17" s="38"/>
      <c r="H17" s="39"/>
      <c r="I17" s="39"/>
      <c r="J17" s="39"/>
      <c r="K17" s="39"/>
      <c r="L17" s="39"/>
      <c r="M17" s="39"/>
      <c r="N17" s="39"/>
    </row>
    <row r="18">
      <c r="A18" s="34">
        <v>45282.0</v>
      </c>
      <c r="B18" s="35">
        <v>206.75</v>
      </c>
      <c r="C18" s="36"/>
      <c r="D18" s="36"/>
      <c r="E18" s="36"/>
      <c r="F18" s="36"/>
      <c r="G18" s="38"/>
      <c r="H18" s="39"/>
      <c r="I18" s="39"/>
      <c r="J18" s="39"/>
      <c r="K18" s="39"/>
      <c r="L18" s="39"/>
      <c r="M18" s="39"/>
      <c r="N18" s="39"/>
    </row>
    <row r="19">
      <c r="A19" s="34">
        <v>45286.0</v>
      </c>
      <c r="B19" s="43">
        <v>188.67</v>
      </c>
      <c r="C19" s="36"/>
      <c r="D19" s="36"/>
      <c r="E19" s="36"/>
      <c r="F19" s="36"/>
      <c r="G19" s="38"/>
      <c r="H19" s="39"/>
      <c r="I19" s="39"/>
      <c r="J19" s="39"/>
      <c r="K19" s="39"/>
      <c r="L19" s="39"/>
      <c r="M19" s="39"/>
      <c r="N19" s="39"/>
    </row>
    <row r="20">
      <c r="A20" s="34">
        <v>45290.0</v>
      </c>
      <c r="B20" s="35">
        <v>121.56</v>
      </c>
      <c r="C20" s="36"/>
      <c r="D20" s="36"/>
      <c r="E20" s="36"/>
      <c r="F20" s="36"/>
      <c r="G20" s="38"/>
      <c r="H20" s="39"/>
      <c r="I20" s="39"/>
      <c r="J20" s="39"/>
      <c r="K20" s="39"/>
      <c r="L20" s="39"/>
      <c r="M20" s="39"/>
      <c r="N20" s="39"/>
    </row>
    <row r="21">
      <c r="A21" s="34">
        <v>45294.0</v>
      </c>
      <c r="B21" s="35">
        <v>200.2</v>
      </c>
      <c r="C21" s="36"/>
      <c r="D21" s="36"/>
      <c r="E21" s="36"/>
      <c r="F21" s="36"/>
      <c r="G21" s="38"/>
      <c r="H21" s="39"/>
      <c r="I21" s="39"/>
      <c r="J21" s="39"/>
      <c r="K21" s="39"/>
      <c r="L21" s="39"/>
      <c r="M21" s="39"/>
      <c r="N21" s="39"/>
    </row>
    <row r="22">
      <c r="A22" s="34">
        <v>45297.0</v>
      </c>
      <c r="B22" s="35">
        <v>75.2</v>
      </c>
      <c r="C22" s="36"/>
      <c r="D22" s="36"/>
      <c r="E22" s="36"/>
      <c r="F22" s="36"/>
      <c r="G22" s="38"/>
      <c r="H22" s="39"/>
      <c r="I22" s="39"/>
      <c r="J22" s="39"/>
      <c r="K22" s="39"/>
      <c r="L22" s="39"/>
      <c r="M22" s="39"/>
      <c r="N22" s="39"/>
    </row>
    <row r="23">
      <c r="A23" s="34">
        <v>45300.0</v>
      </c>
      <c r="B23" s="35">
        <v>120.0</v>
      </c>
      <c r="C23" s="36"/>
      <c r="D23" s="36"/>
      <c r="E23" s="36"/>
      <c r="F23" s="36"/>
      <c r="G23" s="38"/>
      <c r="H23" s="39"/>
      <c r="I23" s="39"/>
      <c r="J23" s="39"/>
      <c r="K23" s="39"/>
      <c r="L23" s="39"/>
      <c r="M23" s="39"/>
      <c r="N23" s="39"/>
    </row>
    <row r="24">
      <c r="A24" s="34">
        <v>45303.0</v>
      </c>
      <c r="B24" s="35">
        <v>81.8</v>
      </c>
      <c r="C24" s="36"/>
      <c r="D24" s="36"/>
      <c r="E24" s="36"/>
      <c r="F24" s="36"/>
      <c r="G24" s="38"/>
      <c r="H24" s="39"/>
      <c r="I24" s="39"/>
      <c r="J24" s="39"/>
      <c r="K24" s="39"/>
      <c r="L24" s="39"/>
      <c r="M24" s="39"/>
      <c r="N24" s="39"/>
    </row>
    <row r="25">
      <c r="A25" s="34">
        <v>45307.0</v>
      </c>
      <c r="B25" s="35">
        <v>114.8</v>
      </c>
      <c r="C25" s="36"/>
      <c r="D25" s="36"/>
      <c r="E25" s="36"/>
      <c r="F25" s="36"/>
      <c r="G25" s="38"/>
      <c r="H25" s="39"/>
      <c r="I25" s="39"/>
      <c r="J25" s="39"/>
      <c r="K25" s="39"/>
      <c r="L25" s="39"/>
      <c r="M25" s="39"/>
      <c r="N25" s="39"/>
    </row>
    <row r="26">
      <c r="A26" s="34">
        <v>45310.0</v>
      </c>
      <c r="B26" s="35">
        <v>80.67</v>
      </c>
      <c r="C26" s="36"/>
      <c r="D26" s="36"/>
      <c r="E26" s="36"/>
      <c r="F26" s="36"/>
      <c r="G26" s="38"/>
      <c r="H26" s="39"/>
      <c r="I26" s="39"/>
      <c r="J26" s="39"/>
      <c r="K26" s="39"/>
      <c r="L26" s="39"/>
      <c r="M26" s="39"/>
      <c r="N26" s="39"/>
    </row>
    <row r="27">
      <c r="A27" s="34">
        <v>45314.0</v>
      </c>
      <c r="B27" s="35">
        <v>112.56</v>
      </c>
      <c r="C27" s="36"/>
      <c r="D27" s="36"/>
      <c r="E27" s="36"/>
      <c r="F27" s="36"/>
      <c r="G27" s="38"/>
      <c r="H27" s="39"/>
      <c r="I27" s="39"/>
      <c r="J27" s="39"/>
      <c r="K27" s="39"/>
      <c r="L27" s="39"/>
      <c r="M27" s="39"/>
      <c r="N27" s="39"/>
    </row>
    <row r="28">
      <c r="A28" s="34">
        <v>45317.0</v>
      </c>
      <c r="B28" s="35">
        <v>178.85</v>
      </c>
      <c r="C28" s="36"/>
      <c r="D28" s="36"/>
      <c r="E28" s="36"/>
      <c r="F28" s="36"/>
      <c r="G28" s="38"/>
      <c r="H28" s="39"/>
      <c r="I28" s="39"/>
      <c r="J28" s="39"/>
      <c r="K28" s="39"/>
      <c r="L28" s="39"/>
      <c r="M28" s="39"/>
      <c r="N28" s="39"/>
    </row>
    <row r="29">
      <c r="A29" s="34">
        <v>45321.0</v>
      </c>
      <c r="B29" s="35">
        <v>98.67</v>
      </c>
      <c r="C29" s="36"/>
      <c r="D29" s="36"/>
      <c r="E29" s="36"/>
      <c r="F29" s="36"/>
      <c r="G29" s="38"/>
      <c r="H29" s="39"/>
      <c r="I29" s="39"/>
      <c r="J29" s="39"/>
      <c r="K29" s="39"/>
      <c r="L29" s="39"/>
      <c r="M29" s="39"/>
      <c r="N29" s="39"/>
    </row>
    <row r="30">
      <c r="A30" s="34">
        <v>45324.0</v>
      </c>
      <c r="B30" s="35">
        <v>122.37</v>
      </c>
      <c r="C30" s="36"/>
      <c r="D30" s="36"/>
      <c r="E30" s="36"/>
      <c r="F30" s="36"/>
      <c r="G30" s="38"/>
      <c r="H30" s="39"/>
      <c r="I30" s="39"/>
      <c r="J30" s="39"/>
      <c r="K30" s="39"/>
      <c r="L30" s="39"/>
      <c r="M30" s="39"/>
      <c r="N30" s="39"/>
    </row>
    <row r="31">
      <c r="A31" s="34">
        <v>45328.0</v>
      </c>
      <c r="B31" s="35">
        <v>55.35</v>
      </c>
      <c r="C31" s="36"/>
      <c r="D31" s="36"/>
      <c r="E31" s="36"/>
      <c r="F31" s="36"/>
      <c r="G31" s="38"/>
      <c r="H31" s="39"/>
      <c r="I31" s="39"/>
      <c r="J31" s="39"/>
      <c r="K31" s="39"/>
      <c r="L31" s="39"/>
      <c r="M31" s="39"/>
      <c r="N31" s="39"/>
    </row>
    <row r="32">
      <c r="A32" s="34">
        <v>45331.0</v>
      </c>
      <c r="B32" s="35">
        <v>23.3</v>
      </c>
      <c r="C32" s="36"/>
      <c r="D32" s="36"/>
      <c r="E32" s="36"/>
      <c r="F32" s="36"/>
      <c r="G32" s="38"/>
      <c r="H32" s="39"/>
      <c r="I32" s="39"/>
      <c r="J32" s="39"/>
      <c r="K32" s="39"/>
      <c r="L32" s="39"/>
      <c r="M32" s="39"/>
      <c r="N32" s="39"/>
    </row>
    <row r="33">
      <c r="A33" s="34">
        <v>45337.0</v>
      </c>
      <c r="B33" s="35">
        <v>103.76</v>
      </c>
      <c r="C33" s="36"/>
      <c r="D33" s="36"/>
      <c r="E33" s="36"/>
      <c r="F33" s="36"/>
      <c r="G33" s="38"/>
      <c r="H33" s="39"/>
      <c r="I33" s="39"/>
      <c r="J33" s="39"/>
      <c r="K33" s="39"/>
      <c r="L33" s="39"/>
      <c r="M33" s="39"/>
      <c r="N33" s="39"/>
    </row>
    <row r="34">
      <c r="A34" s="34">
        <v>45341.0</v>
      </c>
      <c r="B34" s="35">
        <v>103.75</v>
      </c>
      <c r="C34" s="35">
        <v>175.61</v>
      </c>
      <c r="D34" s="36"/>
      <c r="E34" s="36"/>
      <c r="F34" s="35"/>
      <c r="G34" s="38"/>
      <c r="H34" s="39"/>
      <c r="I34" s="39"/>
      <c r="J34" s="39"/>
      <c r="K34" s="39"/>
      <c r="L34" s="39"/>
      <c r="M34" s="39"/>
      <c r="N34" s="39"/>
    </row>
    <row r="35">
      <c r="A35" s="34">
        <v>45344.0</v>
      </c>
      <c r="B35" s="35">
        <v>47.1</v>
      </c>
      <c r="C35" s="35">
        <v>171.41</v>
      </c>
      <c r="D35" s="36"/>
      <c r="E35" s="36"/>
      <c r="F35" s="35"/>
      <c r="G35" s="38"/>
      <c r="H35" s="39"/>
      <c r="I35" s="39"/>
      <c r="J35" s="39"/>
      <c r="K35" s="39"/>
      <c r="L35" s="39"/>
      <c r="M35" s="39"/>
      <c r="N35" s="39"/>
    </row>
    <row r="36">
      <c r="A36" s="34">
        <v>45345.0</v>
      </c>
      <c r="B36" s="35">
        <v>46.89</v>
      </c>
      <c r="C36" s="35">
        <v>195.0</v>
      </c>
      <c r="D36" s="36"/>
      <c r="E36" s="36"/>
      <c r="F36" s="35"/>
      <c r="G36" s="38"/>
      <c r="H36" s="39"/>
      <c r="I36" s="39"/>
      <c r="J36" s="39"/>
      <c r="K36" s="39"/>
      <c r="L36" s="39"/>
      <c r="M36" s="39"/>
      <c r="N36" s="39"/>
    </row>
    <row r="37">
      <c r="A37" s="34">
        <v>45348.0</v>
      </c>
      <c r="B37" s="35">
        <v>102.45</v>
      </c>
      <c r="C37" s="35">
        <v>326.76</v>
      </c>
      <c r="D37" s="36"/>
      <c r="E37" s="36"/>
      <c r="F37" s="35"/>
      <c r="G37" s="38"/>
      <c r="H37" s="39"/>
      <c r="I37" s="39"/>
      <c r="J37" s="39"/>
      <c r="K37" s="39"/>
      <c r="L37" s="39"/>
      <c r="M37" s="39"/>
      <c r="N37" s="39"/>
    </row>
    <row r="38">
      <c r="A38" s="34">
        <v>45350.0</v>
      </c>
      <c r="B38" s="35">
        <v>58.55</v>
      </c>
      <c r="C38" s="35">
        <v>205.75</v>
      </c>
      <c r="D38" s="36"/>
      <c r="E38" s="36"/>
      <c r="F38" s="35"/>
      <c r="G38" s="38"/>
      <c r="H38" s="39"/>
      <c r="I38" s="39"/>
      <c r="J38" s="39"/>
      <c r="K38" s="39"/>
      <c r="L38" s="39"/>
      <c r="M38" s="39"/>
      <c r="N38" s="39"/>
    </row>
    <row r="39">
      <c r="A39" s="34">
        <v>45352.0</v>
      </c>
      <c r="B39" s="35">
        <v>62.3</v>
      </c>
      <c r="C39" s="35">
        <v>110.9</v>
      </c>
      <c r="D39" s="36"/>
      <c r="E39" s="36"/>
      <c r="F39" s="35"/>
      <c r="G39" s="38"/>
      <c r="H39" s="39"/>
      <c r="I39" s="39"/>
      <c r="J39" s="39"/>
      <c r="K39" s="39"/>
      <c r="L39" s="39"/>
      <c r="M39" s="39"/>
      <c r="N39" s="39"/>
    </row>
    <row r="40">
      <c r="A40" s="52">
        <v>45355.0</v>
      </c>
      <c r="B40" s="53">
        <v>96.5</v>
      </c>
      <c r="C40" s="53">
        <v>110.75</v>
      </c>
      <c r="D40" s="54">
        <v>67.25</v>
      </c>
      <c r="E40" s="36"/>
      <c r="F40" s="53"/>
      <c r="G40" s="38"/>
      <c r="H40" s="39"/>
      <c r="I40" s="39"/>
      <c r="J40" s="39"/>
      <c r="K40" s="39"/>
      <c r="L40" s="39"/>
      <c r="M40" s="39"/>
      <c r="N40" s="39"/>
    </row>
    <row r="41">
      <c r="A41" s="52">
        <v>45356.0</v>
      </c>
      <c r="B41" s="55">
        <v>0.0</v>
      </c>
      <c r="C41" s="36">
        <v>109.45</v>
      </c>
      <c r="D41" s="55">
        <v>46.7</v>
      </c>
      <c r="E41" s="36"/>
      <c r="F41" s="36"/>
      <c r="G41" s="38"/>
      <c r="H41" s="39"/>
      <c r="I41" s="39"/>
      <c r="J41" s="39"/>
      <c r="K41" s="39"/>
      <c r="L41" s="39"/>
      <c r="M41" s="39"/>
      <c r="N41" s="39"/>
    </row>
    <row r="42">
      <c r="A42" s="52">
        <v>45358.0</v>
      </c>
      <c r="B42" s="36">
        <v>66.0</v>
      </c>
      <c r="C42" s="36">
        <v>166.5</v>
      </c>
      <c r="D42" s="55">
        <v>63.8</v>
      </c>
      <c r="E42" s="55">
        <v>9.35</v>
      </c>
      <c r="F42" s="36"/>
      <c r="G42" s="38"/>
      <c r="H42" s="39"/>
      <c r="I42" s="39"/>
      <c r="J42" s="39"/>
      <c r="K42" s="39"/>
      <c r="L42" s="39"/>
      <c r="M42" s="39"/>
      <c r="N42" s="39"/>
    </row>
    <row r="43">
      <c r="A43" s="52">
        <v>45359.0</v>
      </c>
      <c r="B43" s="55">
        <v>21.32</v>
      </c>
      <c r="C43" s="55">
        <v>233.45</v>
      </c>
      <c r="D43" s="55">
        <v>38.9</v>
      </c>
      <c r="E43" s="55">
        <v>0.0</v>
      </c>
      <c r="F43" s="55"/>
      <c r="G43" s="38"/>
      <c r="H43" s="39"/>
      <c r="I43" s="39"/>
      <c r="J43" s="39"/>
      <c r="K43" s="39"/>
      <c r="L43" s="39"/>
      <c r="M43" s="39"/>
      <c r="N43" s="39"/>
    </row>
    <row r="44">
      <c r="A44" s="41">
        <v>45362.0</v>
      </c>
      <c r="B44" s="56">
        <v>101.88</v>
      </c>
      <c r="C44" s="55">
        <v>164.35</v>
      </c>
      <c r="D44" s="55">
        <v>0.0</v>
      </c>
      <c r="E44" s="55">
        <v>0.0</v>
      </c>
      <c r="F44" s="55"/>
      <c r="G44" s="38"/>
      <c r="H44" s="39"/>
      <c r="I44" s="39"/>
      <c r="J44" s="39"/>
      <c r="K44" s="39"/>
      <c r="L44" s="39"/>
      <c r="M44" s="39"/>
      <c r="N44" s="39"/>
    </row>
    <row r="45">
      <c r="A45" s="41">
        <v>45364.0</v>
      </c>
      <c r="B45" s="55">
        <v>45.75</v>
      </c>
      <c r="C45" s="55">
        <v>281.0</v>
      </c>
      <c r="D45" s="55">
        <v>19.15</v>
      </c>
      <c r="E45" s="55">
        <v>0.0</v>
      </c>
      <c r="F45" s="55"/>
      <c r="G45" s="38"/>
      <c r="H45" s="39"/>
      <c r="I45" s="39"/>
      <c r="J45" s="39"/>
      <c r="K45" s="39"/>
      <c r="L45" s="39"/>
      <c r="M45" s="39"/>
      <c r="N45" s="39"/>
    </row>
    <row r="46">
      <c r="A46" s="41">
        <v>45366.0</v>
      </c>
      <c r="B46" s="55">
        <v>62.3</v>
      </c>
      <c r="C46" s="55">
        <v>313.9</v>
      </c>
      <c r="D46" s="55">
        <v>73.55</v>
      </c>
      <c r="E46" s="55">
        <v>0.0</v>
      </c>
      <c r="F46" s="55"/>
      <c r="G46" s="38"/>
      <c r="H46" s="39"/>
      <c r="I46" s="39"/>
      <c r="J46" s="39"/>
      <c r="K46" s="39"/>
      <c r="L46" s="39"/>
      <c r="M46" s="39"/>
      <c r="N46" s="39"/>
    </row>
    <row r="47">
      <c r="A47" s="41">
        <v>45370.0</v>
      </c>
      <c r="B47" s="56">
        <v>61.5</v>
      </c>
      <c r="C47" s="56">
        <v>262.48</v>
      </c>
      <c r="D47" s="55">
        <v>0.0</v>
      </c>
      <c r="E47" s="55">
        <v>0.0</v>
      </c>
      <c r="F47" s="56"/>
      <c r="G47" s="38"/>
      <c r="H47" s="39"/>
      <c r="I47" s="39"/>
      <c r="J47" s="39"/>
      <c r="K47" s="39"/>
      <c r="L47" s="39"/>
      <c r="M47" s="39"/>
      <c r="N47" s="39"/>
    </row>
    <row r="48">
      <c r="A48" s="41">
        <v>45372.0</v>
      </c>
      <c r="B48" s="56">
        <v>39.0</v>
      </c>
      <c r="C48" s="56">
        <v>218.2</v>
      </c>
      <c r="D48" s="56">
        <v>66.79</v>
      </c>
      <c r="E48" s="56">
        <v>11.5</v>
      </c>
      <c r="F48" s="56"/>
      <c r="G48" s="38"/>
      <c r="H48" s="39"/>
      <c r="I48" s="39"/>
      <c r="J48" s="39"/>
      <c r="K48" s="39"/>
      <c r="L48" s="39"/>
      <c r="M48" s="39"/>
      <c r="N48" s="39"/>
    </row>
    <row r="49">
      <c r="A49" s="41">
        <v>45373.0</v>
      </c>
      <c r="B49" s="54">
        <v>31.88</v>
      </c>
      <c r="C49" s="54">
        <v>89.46</v>
      </c>
      <c r="D49" s="55">
        <v>0.0</v>
      </c>
      <c r="E49" s="55">
        <v>0.0</v>
      </c>
      <c r="F49" s="54"/>
      <c r="G49" s="38"/>
      <c r="H49" s="39"/>
      <c r="I49" s="39"/>
      <c r="J49" s="39"/>
      <c r="K49" s="39"/>
      <c r="L49" s="39"/>
      <c r="M49" s="39"/>
      <c r="N49" s="39"/>
    </row>
    <row r="50">
      <c r="A50" s="41">
        <v>45376.0</v>
      </c>
      <c r="B50" s="55">
        <v>74.98</v>
      </c>
      <c r="C50" s="55">
        <v>322.85</v>
      </c>
      <c r="D50" s="55">
        <v>0.0</v>
      </c>
      <c r="E50" s="55">
        <v>0.0</v>
      </c>
      <c r="F50" s="55"/>
      <c r="G50" s="38"/>
      <c r="H50" s="39"/>
      <c r="I50" s="39"/>
      <c r="J50" s="39"/>
      <c r="K50" s="39"/>
      <c r="L50" s="39"/>
      <c r="M50" s="39"/>
      <c r="N50" s="39"/>
    </row>
    <row r="51">
      <c r="A51" s="41">
        <v>45379.0</v>
      </c>
      <c r="B51" s="55">
        <v>102.61</v>
      </c>
      <c r="C51" s="55">
        <v>368.96</v>
      </c>
      <c r="D51" s="55">
        <v>0.0</v>
      </c>
      <c r="E51" s="55">
        <v>9.9</v>
      </c>
      <c r="F51" s="55"/>
      <c r="G51" s="38"/>
      <c r="H51" s="39"/>
      <c r="I51" s="39"/>
      <c r="J51" s="39"/>
      <c r="K51" s="39"/>
      <c r="L51" s="39"/>
      <c r="M51" s="39"/>
      <c r="N51" s="39"/>
    </row>
    <row r="52">
      <c r="A52" s="57">
        <v>45383.0</v>
      </c>
      <c r="B52" s="56">
        <v>77.3</v>
      </c>
      <c r="C52" s="56">
        <v>402.88</v>
      </c>
      <c r="D52" s="55">
        <v>0.0</v>
      </c>
      <c r="E52" s="55">
        <v>0.0</v>
      </c>
      <c r="F52" s="56">
        <v>122.36</v>
      </c>
      <c r="G52" s="38"/>
      <c r="H52" s="39"/>
      <c r="I52" s="39"/>
      <c r="J52" s="39"/>
      <c r="K52" s="39"/>
      <c r="L52" s="39"/>
      <c r="M52" s="39"/>
      <c r="N52" s="39"/>
    </row>
    <row r="53">
      <c r="A53" s="41">
        <v>45385.0</v>
      </c>
      <c r="B53" s="58">
        <v>85.3</v>
      </c>
      <c r="C53" s="58">
        <v>233.78</v>
      </c>
      <c r="D53" s="58">
        <v>103.77</v>
      </c>
      <c r="E53" s="55">
        <v>0.0</v>
      </c>
      <c r="F53" s="58">
        <v>134.55</v>
      </c>
      <c r="G53" s="38"/>
      <c r="H53" s="39"/>
      <c r="I53" s="39"/>
      <c r="J53" s="39"/>
      <c r="K53" s="39"/>
      <c r="L53" s="39"/>
      <c r="M53" s="39"/>
      <c r="N53" s="39"/>
    </row>
    <row r="54">
      <c r="A54" s="59">
        <v>45387.0</v>
      </c>
      <c r="B54" s="60">
        <v>41.16</v>
      </c>
      <c r="C54" s="60">
        <v>225.56</v>
      </c>
      <c r="D54" s="60">
        <v>54.72</v>
      </c>
      <c r="E54" s="55">
        <v>0.0</v>
      </c>
      <c r="F54" s="60">
        <v>205.95</v>
      </c>
      <c r="G54" s="38"/>
      <c r="H54" s="39"/>
      <c r="I54" s="39"/>
      <c r="J54" s="39"/>
      <c r="K54" s="39"/>
      <c r="L54" s="39"/>
      <c r="M54" s="39"/>
      <c r="N54" s="39"/>
    </row>
    <row r="55">
      <c r="A55" s="41">
        <v>45390.0</v>
      </c>
      <c r="B55" s="58">
        <v>47.8</v>
      </c>
      <c r="C55" s="58">
        <v>145.23</v>
      </c>
      <c r="D55" s="58">
        <v>20.1</v>
      </c>
      <c r="E55" s="55">
        <v>0.0</v>
      </c>
      <c r="F55" s="58">
        <v>238.79</v>
      </c>
      <c r="G55" s="38"/>
      <c r="H55" s="39"/>
      <c r="I55" s="39"/>
      <c r="J55" s="39"/>
      <c r="K55" s="39"/>
      <c r="L55" s="39"/>
      <c r="M55" s="39"/>
      <c r="N55" s="39"/>
    </row>
    <row r="56">
      <c r="A56" s="41">
        <v>45392.0</v>
      </c>
      <c r="B56" s="58">
        <v>16.8</v>
      </c>
      <c r="C56" s="58">
        <v>210.0</v>
      </c>
      <c r="D56" s="55">
        <v>27.89</v>
      </c>
      <c r="E56" s="55">
        <v>0.0</v>
      </c>
      <c r="F56" s="60">
        <v>91.0</v>
      </c>
      <c r="G56" s="38"/>
      <c r="H56" s="39"/>
      <c r="I56" s="39"/>
      <c r="J56" s="39"/>
      <c r="K56" s="39"/>
      <c r="L56" s="39"/>
      <c r="M56" s="39"/>
      <c r="N56" s="39"/>
    </row>
    <row r="57">
      <c r="A57" s="57">
        <v>45394.0</v>
      </c>
      <c r="B57" s="58">
        <v>52.3</v>
      </c>
      <c r="C57" s="58">
        <v>180.06</v>
      </c>
      <c r="D57" s="58">
        <v>10.26</v>
      </c>
      <c r="E57" s="55">
        <v>0.0</v>
      </c>
      <c r="F57" s="58">
        <v>191.1</v>
      </c>
      <c r="G57" s="38"/>
      <c r="H57" s="39"/>
      <c r="I57" s="39"/>
      <c r="J57" s="39"/>
      <c r="K57" s="39"/>
      <c r="L57" s="39"/>
      <c r="M57" s="39"/>
      <c r="N57" s="39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41">
        <v>45397.0</v>
      </c>
      <c r="B58" s="55">
        <v>0.0</v>
      </c>
      <c r="C58" s="55">
        <v>244.9</v>
      </c>
      <c r="D58" s="55">
        <v>50.45</v>
      </c>
      <c r="E58" s="55">
        <v>0.0</v>
      </c>
      <c r="F58" s="55">
        <v>200.65</v>
      </c>
      <c r="G58" s="38"/>
      <c r="H58" s="39"/>
      <c r="I58" s="39"/>
      <c r="J58" s="39"/>
      <c r="K58" s="39"/>
      <c r="L58" s="39"/>
      <c r="M58" s="39"/>
      <c r="N58" s="39"/>
    </row>
    <row r="59">
      <c r="A59" s="41">
        <v>45399.0</v>
      </c>
      <c r="B59" s="55">
        <v>0.0</v>
      </c>
      <c r="C59" s="58">
        <v>193.86</v>
      </c>
      <c r="D59" s="58">
        <v>56.11</v>
      </c>
      <c r="E59" s="55">
        <v>0.0</v>
      </c>
      <c r="F59" s="58">
        <v>225.25</v>
      </c>
      <c r="G59" s="38"/>
      <c r="H59" s="39"/>
      <c r="I59" s="39"/>
      <c r="J59" s="39"/>
      <c r="K59" s="39"/>
      <c r="L59" s="39"/>
      <c r="M59" s="39"/>
      <c r="N59" s="39"/>
    </row>
    <row r="60">
      <c r="A60" s="41">
        <v>45401.0</v>
      </c>
      <c r="B60" s="55">
        <v>0.0</v>
      </c>
      <c r="C60" s="56">
        <v>255.35</v>
      </c>
      <c r="D60" s="56">
        <v>42.78</v>
      </c>
      <c r="E60" s="55">
        <v>0.0</v>
      </c>
      <c r="F60" s="56">
        <v>228.27</v>
      </c>
      <c r="G60" s="38"/>
      <c r="H60" s="39"/>
      <c r="I60" s="39"/>
      <c r="J60" s="39"/>
      <c r="K60" s="39"/>
      <c r="L60" s="39"/>
      <c r="M60" s="39"/>
      <c r="N60" s="39"/>
    </row>
    <row r="61">
      <c r="A61" s="41">
        <v>45404.0</v>
      </c>
      <c r="B61" s="55">
        <v>0.0</v>
      </c>
      <c r="C61" s="55">
        <v>188.75</v>
      </c>
      <c r="D61" s="55">
        <v>58.56</v>
      </c>
      <c r="E61" s="55">
        <v>0.0</v>
      </c>
      <c r="F61" s="55">
        <v>268.97</v>
      </c>
      <c r="G61" s="38"/>
      <c r="H61" s="39"/>
      <c r="I61" s="39"/>
      <c r="J61" s="39"/>
      <c r="K61" s="39"/>
      <c r="L61" s="39"/>
      <c r="M61" s="39"/>
      <c r="N61" s="39"/>
    </row>
    <row r="62">
      <c r="A62" s="41">
        <v>45406.0</v>
      </c>
      <c r="B62" s="55">
        <v>0.0</v>
      </c>
      <c r="C62" s="56">
        <v>224.65</v>
      </c>
      <c r="D62" s="55">
        <v>0.0</v>
      </c>
      <c r="E62" s="55">
        <v>0.0</v>
      </c>
      <c r="F62" s="56">
        <v>189.9</v>
      </c>
      <c r="G62" s="38"/>
      <c r="H62" s="39"/>
      <c r="I62" s="39"/>
      <c r="J62" s="39"/>
      <c r="K62" s="39"/>
      <c r="L62" s="39"/>
      <c r="M62" s="39"/>
      <c r="N62" s="39"/>
    </row>
    <row r="63">
      <c r="A63" s="62">
        <v>45408.0</v>
      </c>
      <c r="B63" s="63">
        <v>0.0</v>
      </c>
      <c r="C63" s="64">
        <v>104.45</v>
      </c>
      <c r="D63" s="63">
        <v>0.0</v>
      </c>
      <c r="E63" s="63">
        <v>0.0</v>
      </c>
      <c r="F63" s="64">
        <v>261.6</v>
      </c>
      <c r="G63" s="38"/>
      <c r="H63" s="39"/>
      <c r="I63" s="39"/>
      <c r="J63" s="39"/>
      <c r="K63" s="39"/>
      <c r="L63" s="39"/>
      <c r="M63" s="39"/>
      <c r="N63" s="39"/>
    </row>
    <row r="64">
      <c r="A64" s="62">
        <v>45411.0</v>
      </c>
      <c r="B64" s="63">
        <v>0.0</v>
      </c>
      <c r="C64" s="64">
        <v>272.7</v>
      </c>
      <c r="D64" s="64">
        <v>67.8</v>
      </c>
      <c r="E64" s="63">
        <v>0.0</v>
      </c>
      <c r="F64" s="64">
        <v>357.5</v>
      </c>
      <c r="G64" s="38"/>
      <c r="H64" s="39"/>
      <c r="I64" s="39"/>
      <c r="J64" s="39"/>
      <c r="K64" s="39"/>
      <c r="L64" s="39"/>
      <c r="M64" s="39"/>
      <c r="N64" s="39"/>
    </row>
    <row r="65">
      <c r="A65" s="65">
        <v>45414.0</v>
      </c>
      <c r="B65" s="63">
        <v>0.0</v>
      </c>
      <c r="C65" s="64">
        <v>220.75</v>
      </c>
      <c r="D65" s="64">
        <v>46.01</v>
      </c>
      <c r="E65" s="63">
        <v>0.0</v>
      </c>
      <c r="F65" s="64">
        <v>212.3</v>
      </c>
      <c r="G65" s="38"/>
      <c r="H65" s="39"/>
      <c r="I65" s="39"/>
      <c r="J65" s="39"/>
      <c r="K65" s="39"/>
      <c r="L65" s="39"/>
      <c r="M65" s="39"/>
      <c r="N65" s="39"/>
    </row>
    <row r="66">
      <c r="A66" s="62">
        <v>45415.0</v>
      </c>
      <c r="B66" s="63">
        <v>0.0</v>
      </c>
      <c r="C66" s="56">
        <v>158.56</v>
      </c>
      <c r="D66" s="56">
        <v>96.76</v>
      </c>
      <c r="E66" s="63">
        <v>0.0</v>
      </c>
      <c r="F66" s="56">
        <v>110.2</v>
      </c>
      <c r="G66" s="38"/>
      <c r="H66" s="39"/>
      <c r="I66" s="39"/>
      <c r="J66" s="39"/>
      <c r="K66" s="39"/>
      <c r="L66" s="39"/>
      <c r="M66" s="39"/>
      <c r="N66" s="39"/>
    </row>
    <row r="67">
      <c r="A67" s="62">
        <v>45418.0</v>
      </c>
      <c r="B67" s="63">
        <v>0.0</v>
      </c>
      <c r="C67" s="56">
        <v>113.96</v>
      </c>
      <c r="D67" s="63">
        <v>0.0</v>
      </c>
      <c r="E67" s="63">
        <v>0.0</v>
      </c>
      <c r="F67" s="56">
        <v>309.65</v>
      </c>
      <c r="G67" s="38"/>
      <c r="H67" s="39"/>
      <c r="I67" s="39"/>
      <c r="J67" s="39"/>
      <c r="K67" s="39"/>
      <c r="L67" s="39"/>
      <c r="M67" s="39"/>
      <c r="N67" s="39"/>
    </row>
    <row r="68">
      <c r="A68" s="59">
        <v>45420.0</v>
      </c>
      <c r="B68" s="55">
        <v>0.0</v>
      </c>
      <c r="C68" s="55">
        <v>215.47</v>
      </c>
      <c r="D68" s="55">
        <v>0.0</v>
      </c>
      <c r="E68" s="55">
        <v>0.0</v>
      </c>
      <c r="F68" s="55">
        <v>146.88</v>
      </c>
      <c r="G68" s="38"/>
      <c r="H68" s="39"/>
      <c r="I68" s="39"/>
      <c r="J68" s="39"/>
      <c r="K68" s="39"/>
      <c r="L68" s="39"/>
      <c r="M68" s="39"/>
      <c r="N68" s="39"/>
    </row>
    <row r="69">
      <c r="A69" s="59">
        <v>45422.0</v>
      </c>
      <c r="B69" s="55">
        <v>0.0</v>
      </c>
      <c r="C69" s="55">
        <v>275.01</v>
      </c>
      <c r="D69" s="55">
        <v>0.0</v>
      </c>
      <c r="E69" s="55">
        <v>9.87</v>
      </c>
      <c r="F69" s="55">
        <v>157.9</v>
      </c>
      <c r="G69" s="38"/>
      <c r="H69" s="39"/>
      <c r="I69" s="39"/>
      <c r="J69" s="39"/>
      <c r="K69" s="39"/>
      <c r="L69" s="39"/>
      <c r="M69" s="39"/>
      <c r="N69" s="39"/>
    </row>
    <row r="70">
      <c r="A70" s="59">
        <v>45425.0</v>
      </c>
      <c r="B70" s="55">
        <v>0.0</v>
      </c>
      <c r="C70" s="55">
        <v>358.97</v>
      </c>
      <c r="D70" s="55">
        <v>69.87</v>
      </c>
      <c r="E70" s="36"/>
      <c r="F70" s="55">
        <v>226.3</v>
      </c>
      <c r="G70" s="38"/>
      <c r="H70" s="39"/>
      <c r="I70" s="39"/>
      <c r="J70" s="39"/>
      <c r="K70" s="39"/>
      <c r="L70" s="39"/>
      <c r="M70" s="39"/>
      <c r="N70" s="39"/>
    </row>
    <row r="71">
      <c r="A71" s="59">
        <v>45427.0</v>
      </c>
      <c r="B71" s="55">
        <v>0.0</v>
      </c>
      <c r="C71" s="55">
        <v>241.06</v>
      </c>
      <c r="D71" s="55">
        <v>0.0</v>
      </c>
      <c r="E71" s="55">
        <v>0.0</v>
      </c>
      <c r="F71" s="55">
        <v>120.75</v>
      </c>
      <c r="G71" s="38"/>
      <c r="H71" s="39"/>
      <c r="I71" s="39"/>
      <c r="J71" s="39"/>
      <c r="K71" s="39"/>
      <c r="L71" s="39"/>
      <c r="M71" s="39"/>
      <c r="N71" s="39"/>
    </row>
    <row r="72">
      <c r="A72" s="59">
        <v>45429.0</v>
      </c>
      <c r="B72" s="55">
        <v>0.0</v>
      </c>
      <c r="C72" s="55">
        <v>206.74</v>
      </c>
      <c r="D72" s="55">
        <v>0.0</v>
      </c>
      <c r="E72" s="55">
        <v>8.56</v>
      </c>
      <c r="F72" s="55">
        <v>98.24</v>
      </c>
      <c r="G72" s="38"/>
      <c r="H72" s="39"/>
      <c r="I72" s="39"/>
      <c r="J72" s="39"/>
      <c r="K72" s="39"/>
      <c r="L72" s="39"/>
      <c r="M72" s="39"/>
      <c r="N72" s="39"/>
    </row>
    <row r="73">
      <c r="A73" s="59">
        <v>45432.0</v>
      </c>
      <c r="B73" s="55">
        <v>0.0</v>
      </c>
      <c r="C73" s="55">
        <v>178.96</v>
      </c>
      <c r="D73" s="55">
        <v>71.2</v>
      </c>
      <c r="E73" s="55">
        <v>0.0</v>
      </c>
      <c r="F73" s="55">
        <v>113.46</v>
      </c>
      <c r="G73" s="38"/>
      <c r="H73" s="39"/>
      <c r="I73" s="39"/>
      <c r="J73" s="39"/>
      <c r="K73" s="39"/>
      <c r="L73" s="39"/>
      <c r="M73" s="39"/>
      <c r="N73" s="39"/>
    </row>
    <row r="74">
      <c r="A74" s="59">
        <v>45434.0</v>
      </c>
      <c r="B74" s="55">
        <v>0.0</v>
      </c>
      <c r="C74" s="55">
        <v>137.2</v>
      </c>
      <c r="D74" s="55">
        <v>53.8</v>
      </c>
      <c r="E74" s="55">
        <v>0.0</v>
      </c>
      <c r="F74" s="55">
        <v>143.55</v>
      </c>
      <c r="G74" s="38"/>
      <c r="H74" s="39"/>
      <c r="I74" s="39"/>
      <c r="J74" s="39"/>
      <c r="K74" s="39"/>
      <c r="L74" s="39"/>
      <c r="M74" s="39"/>
      <c r="N74" s="39"/>
    </row>
    <row r="75">
      <c r="A75" s="66">
        <v>45436.0</v>
      </c>
      <c r="B75" s="55">
        <v>0.0</v>
      </c>
      <c r="C75" s="55">
        <v>249.0</v>
      </c>
      <c r="D75" s="55">
        <v>69.35</v>
      </c>
      <c r="E75" s="55">
        <v>0.0</v>
      </c>
      <c r="F75" s="55">
        <v>194.95</v>
      </c>
      <c r="G75" s="38"/>
      <c r="H75" s="39"/>
      <c r="I75" s="39"/>
      <c r="J75" s="39"/>
      <c r="K75" s="39"/>
      <c r="L75" s="39"/>
      <c r="M75" s="39"/>
      <c r="N75" s="39"/>
    </row>
    <row r="76">
      <c r="A76" s="66">
        <v>45439.0</v>
      </c>
      <c r="B76" s="55">
        <v>0.0</v>
      </c>
      <c r="C76" s="55">
        <v>270.75</v>
      </c>
      <c r="D76" s="55">
        <v>0.0</v>
      </c>
      <c r="E76" s="55">
        <v>0.0</v>
      </c>
      <c r="F76" s="55">
        <v>207.75</v>
      </c>
      <c r="G76" s="60">
        <v>80.05</v>
      </c>
      <c r="H76" s="39"/>
      <c r="I76" s="39"/>
      <c r="J76" s="39"/>
      <c r="K76" s="39"/>
      <c r="L76" s="39"/>
      <c r="M76" s="39"/>
      <c r="N76" s="39"/>
    </row>
    <row r="77">
      <c r="A77" s="57">
        <v>45441.0</v>
      </c>
      <c r="B77" s="55">
        <v>0.0</v>
      </c>
      <c r="C77" s="56">
        <v>238.3</v>
      </c>
      <c r="D77" s="55">
        <v>0.0</v>
      </c>
      <c r="E77" s="55">
        <v>0.0</v>
      </c>
      <c r="F77" s="56">
        <v>74.24</v>
      </c>
      <c r="G77" s="58">
        <v>46.05</v>
      </c>
      <c r="H77" s="39"/>
      <c r="I77" s="39"/>
      <c r="J77" s="39"/>
      <c r="K77" s="39"/>
      <c r="L77" s="39"/>
      <c r="M77" s="39"/>
      <c r="N77" s="39"/>
    </row>
    <row r="78">
      <c r="A78" s="57">
        <v>45443.0</v>
      </c>
      <c r="B78" s="55">
        <v>0.0</v>
      </c>
      <c r="C78" s="56">
        <v>195.44</v>
      </c>
      <c r="D78" s="56">
        <v>41.35</v>
      </c>
      <c r="E78" s="55">
        <v>0.0</v>
      </c>
      <c r="F78" s="56">
        <v>146.32</v>
      </c>
      <c r="G78" s="60">
        <v>0.0</v>
      </c>
      <c r="H78" s="39"/>
      <c r="I78" s="39"/>
      <c r="J78" s="39"/>
      <c r="K78" s="39"/>
      <c r="L78" s="39"/>
      <c r="M78" s="39"/>
      <c r="N78" s="39"/>
    </row>
    <row r="79">
      <c r="A79" s="57">
        <v>45446.0</v>
      </c>
      <c r="B79" s="55">
        <v>0.0</v>
      </c>
      <c r="C79" s="56">
        <v>220.78</v>
      </c>
      <c r="D79" s="56">
        <v>54.78</v>
      </c>
      <c r="E79" s="55">
        <v>0.0</v>
      </c>
      <c r="F79" s="56">
        <v>246.45</v>
      </c>
      <c r="G79" s="56">
        <v>121.7</v>
      </c>
      <c r="H79" s="39"/>
      <c r="I79" s="39"/>
      <c r="J79" s="39"/>
      <c r="K79" s="39"/>
      <c r="L79" s="39"/>
      <c r="M79" s="39"/>
      <c r="N79" s="39"/>
    </row>
    <row r="80">
      <c r="A80" s="41">
        <v>45449.0</v>
      </c>
      <c r="B80" s="55">
        <v>0.0</v>
      </c>
      <c r="C80" s="56">
        <v>189.95</v>
      </c>
      <c r="D80" s="56">
        <v>41.23</v>
      </c>
      <c r="E80" s="55">
        <v>0.0</v>
      </c>
      <c r="F80" s="56">
        <v>118.75</v>
      </c>
      <c r="G80" s="56">
        <v>36.5</v>
      </c>
      <c r="H80" s="39"/>
      <c r="I80" s="39"/>
      <c r="J80" s="39"/>
      <c r="K80" s="39"/>
      <c r="L80" s="39"/>
      <c r="M80" s="39"/>
      <c r="N80" s="39"/>
    </row>
    <row r="81">
      <c r="A81" s="41">
        <v>45450.0</v>
      </c>
      <c r="B81" s="55">
        <v>0.0</v>
      </c>
      <c r="C81" s="56">
        <v>86.3</v>
      </c>
      <c r="D81" s="55">
        <v>0.0</v>
      </c>
      <c r="E81" s="55">
        <v>0.0</v>
      </c>
      <c r="F81" s="56">
        <v>18.5</v>
      </c>
      <c r="G81" s="56">
        <v>9.55</v>
      </c>
      <c r="H81" s="39"/>
      <c r="I81" s="39"/>
      <c r="J81" s="39"/>
      <c r="K81" s="39"/>
      <c r="L81" s="39"/>
      <c r="M81" s="39"/>
      <c r="N81" s="39"/>
    </row>
    <row r="82">
      <c r="A82" s="41">
        <v>45453.0</v>
      </c>
      <c r="B82" s="55">
        <v>48.09</v>
      </c>
      <c r="C82" s="55">
        <v>190.13</v>
      </c>
      <c r="D82" s="55">
        <v>27.89</v>
      </c>
      <c r="E82" s="55">
        <v>0.0</v>
      </c>
      <c r="F82" s="55">
        <v>115.0</v>
      </c>
      <c r="G82" s="60">
        <v>35.67</v>
      </c>
      <c r="H82" s="39"/>
      <c r="I82" s="39"/>
      <c r="J82" s="39"/>
      <c r="K82" s="39"/>
      <c r="L82" s="39"/>
      <c r="M82" s="39"/>
      <c r="N82" s="39"/>
    </row>
    <row r="83">
      <c r="A83" s="41">
        <v>45454.0</v>
      </c>
      <c r="B83" s="55">
        <v>39.45</v>
      </c>
      <c r="C83" s="55">
        <v>158.69</v>
      </c>
      <c r="D83" s="27">
        <v>0.0</v>
      </c>
      <c r="E83" s="55">
        <v>0.0</v>
      </c>
      <c r="F83" s="55">
        <v>58.32</v>
      </c>
      <c r="G83" s="60">
        <v>47.8</v>
      </c>
      <c r="H83" s="39"/>
      <c r="I83" s="39"/>
      <c r="J83" s="39"/>
      <c r="K83" s="39"/>
      <c r="L83" s="39"/>
      <c r="M83" s="39"/>
      <c r="N83" s="39"/>
    </row>
    <row r="84">
      <c r="A84" s="41">
        <v>45455.0</v>
      </c>
      <c r="B84" s="55">
        <v>50.57</v>
      </c>
      <c r="C84" s="55">
        <v>109.74</v>
      </c>
      <c r="D84" s="55">
        <v>15.67</v>
      </c>
      <c r="E84" s="55">
        <v>0.0</v>
      </c>
      <c r="F84" s="55">
        <v>78.32</v>
      </c>
      <c r="G84" s="60">
        <v>37.71</v>
      </c>
      <c r="H84" s="39"/>
      <c r="I84" s="39"/>
      <c r="J84" s="39"/>
      <c r="K84" s="39"/>
      <c r="L84" s="39"/>
      <c r="M84" s="39"/>
      <c r="N84" s="39"/>
    </row>
    <row r="85">
      <c r="A85" s="41">
        <v>45456.0</v>
      </c>
      <c r="B85" s="55">
        <v>0.0</v>
      </c>
      <c r="C85" s="55">
        <v>28.9</v>
      </c>
      <c r="D85" s="55">
        <v>0.0</v>
      </c>
      <c r="E85" s="55">
        <v>0.0</v>
      </c>
      <c r="F85" s="55">
        <v>37.6</v>
      </c>
      <c r="G85" s="60">
        <v>36.15</v>
      </c>
      <c r="H85" s="39"/>
      <c r="I85" s="39"/>
      <c r="J85" s="39"/>
      <c r="K85" s="39"/>
      <c r="L85" s="39"/>
      <c r="M85" s="39"/>
      <c r="N85" s="39"/>
    </row>
    <row r="86">
      <c r="A86" s="41">
        <v>45460.0</v>
      </c>
      <c r="B86" s="55">
        <v>32.01</v>
      </c>
      <c r="C86" s="55">
        <v>378.88</v>
      </c>
      <c r="D86" s="55">
        <v>49.08</v>
      </c>
      <c r="E86" s="55">
        <v>0.0</v>
      </c>
      <c r="F86" s="55">
        <v>125.77</v>
      </c>
      <c r="G86" s="60">
        <v>98.26</v>
      </c>
      <c r="H86" s="39"/>
      <c r="I86" s="39"/>
      <c r="J86" s="39"/>
      <c r="K86" s="39"/>
      <c r="L86" s="39"/>
      <c r="M86" s="39"/>
      <c r="N86" s="39"/>
    </row>
    <row r="87">
      <c r="A87" s="41">
        <v>45461.0</v>
      </c>
      <c r="B87" s="55">
        <v>36.02</v>
      </c>
      <c r="C87" s="55">
        <v>175.74</v>
      </c>
      <c r="D87" s="55">
        <v>17.86</v>
      </c>
      <c r="E87" s="55">
        <v>0.0</v>
      </c>
      <c r="F87" s="55">
        <v>56.78</v>
      </c>
      <c r="G87" s="60">
        <v>0.0</v>
      </c>
      <c r="H87" s="39"/>
      <c r="I87" s="39"/>
      <c r="J87" s="39"/>
      <c r="K87" s="39"/>
      <c r="L87" s="39"/>
      <c r="M87" s="39"/>
      <c r="N87" s="39"/>
    </row>
    <row r="88">
      <c r="A88" s="41">
        <v>45463.0</v>
      </c>
      <c r="B88" s="55">
        <v>35.2</v>
      </c>
      <c r="C88" s="55">
        <v>121.75</v>
      </c>
      <c r="D88" s="55">
        <v>0.0</v>
      </c>
      <c r="E88" s="55">
        <v>0.0</v>
      </c>
      <c r="F88" s="55">
        <v>101.05</v>
      </c>
      <c r="G88" s="60">
        <v>23.5</v>
      </c>
      <c r="H88" s="39"/>
      <c r="I88" s="39"/>
      <c r="J88" s="39"/>
      <c r="K88" s="39"/>
      <c r="L88" s="39"/>
      <c r="M88" s="39"/>
      <c r="N88" s="39"/>
    </row>
    <row r="89">
      <c r="A89" s="41">
        <v>45464.0</v>
      </c>
      <c r="B89" s="55">
        <v>0.0</v>
      </c>
      <c r="C89" s="55">
        <v>106.55</v>
      </c>
      <c r="D89" s="55">
        <v>0.0</v>
      </c>
      <c r="E89" s="55">
        <v>0.0</v>
      </c>
      <c r="F89" s="55">
        <v>0.0</v>
      </c>
      <c r="G89" s="60">
        <v>22.2</v>
      </c>
      <c r="H89" s="39"/>
      <c r="I89" s="39"/>
      <c r="J89" s="39"/>
      <c r="K89" s="39"/>
      <c r="L89" s="39"/>
      <c r="M89" s="39"/>
      <c r="N89" s="39"/>
    </row>
    <row r="90">
      <c r="A90" s="41">
        <v>45468.0</v>
      </c>
      <c r="B90" s="55">
        <v>0.0</v>
      </c>
      <c r="C90" s="55">
        <v>350.05</v>
      </c>
      <c r="D90" s="55">
        <v>0.0</v>
      </c>
      <c r="E90" s="55">
        <v>0.0</v>
      </c>
      <c r="F90" s="55">
        <v>64.19</v>
      </c>
      <c r="G90" s="60">
        <v>47.79</v>
      </c>
      <c r="H90" s="39"/>
      <c r="I90" s="39"/>
      <c r="J90" s="39"/>
      <c r="K90" s="39"/>
      <c r="L90" s="39"/>
      <c r="M90" s="39"/>
      <c r="N90" s="39"/>
    </row>
    <row r="91">
      <c r="A91" s="41">
        <v>45469.0</v>
      </c>
      <c r="B91" s="55">
        <v>0.0</v>
      </c>
      <c r="C91" s="55">
        <v>265.5</v>
      </c>
      <c r="D91" s="55">
        <v>0.0</v>
      </c>
      <c r="E91" s="55">
        <v>0.0</v>
      </c>
      <c r="F91" s="27">
        <v>14.08</v>
      </c>
      <c r="G91" s="60">
        <v>0.0</v>
      </c>
      <c r="H91" s="39"/>
      <c r="I91" s="39"/>
      <c r="J91" s="39"/>
      <c r="K91" s="39"/>
      <c r="L91" s="39"/>
      <c r="M91" s="39"/>
      <c r="N91" s="39"/>
    </row>
    <row r="92">
      <c r="A92" s="41">
        <v>45471.0</v>
      </c>
      <c r="B92" s="55">
        <v>0.0</v>
      </c>
      <c r="C92" s="55">
        <v>196.3</v>
      </c>
      <c r="D92" s="55">
        <v>0.0</v>
      </c>
      <c r="E92" s="55">
        <v>0.0</v>
      </c>
      <c r="F92" s="55">
        <v>31.5</v>
      </c>
      <c r="G92" s="60">
        <v>22.1</v>
      </c>
      <c r="H92" s="39"/>
      <c r="I92" s="39"/>
      <c r="J92" s="39"/>
      <c r="K92" s="39"/>
      <c r="L92" s="39"/>
      <c r="M92" s="39"/>
      <c r="N92" s="39"/>
    </row>
    <row r="93">
      <c r="A93" s="59">
        <v>45474.0</v>
      </c>
      <c r="B93" s="55">
        <v>0.0</v>
      </c>
      <c r="C93" s="55">
        <v>300.8</v>
      </c>
      <c r="D93" s="55">
        <v>0.0</v>
      </c>
      <c r="E93" s="55">
        <v>0.0</v>
      </c>
      <c r="F93" s="27">
        <v>26.75</v>
      </c>
      <c r="G93" s="27">
        <v>29.5</v>
      </c>
      <c r="H93" s="39"/>
      <c r="I93" s="39"/>
      <c r="J93" s="39"/>
      <c r="K93" s="39"/>
      <c r="L93" s="39"/>
      <c r="M93" s="39"/>
      <c r="N93" s="39"/>
    </row>
    <row r="94">
      <c r="A94" s="59">
        <v>45478.0</v>
      </c>
      <c r="B94" s="55">
        <v>57.2</v>
      </c>
      <c r="C94" s="55">
        <v>199.6</v>
      </c>
      <c r="D94" s="55">
        <v>48.9</v>
      </c>
      <c r="E94" s="55">
        <v>0.0</v>
      </c>
      <c r="F94" s="55">
        <v>113.97</v>
      </c>
      <c r="G94" s="60">
        <v>91.22</v>
      </c>
      <c r="H94" s="39"/>
      <c r="I94" s="39"/>
      <c r="J94" s="39"/>
      <c r="K94" s="39"/>
      <c r="L94" s="39"/>
      <c r="M94" s="39"/>
      <c r="N94" s="39"/>
    </row>
    <row r="95">
      <c r="A95" s="59">
        <v>45481.0</v>
      </c>
      <c r="B95" s="55">
        <v>38.76</v>
      </c>
      <c r="C95" s="55">
        <v>228.84</v>
      </c>
      <c r="D95" s="55">
        <v>0.0</v>
      </c>
      <c r="E95" s="55">
        <v>0.0</v>
      </c>
      <c r="F95" s="55">
        <v>61.87</v>
      </c>
      <c r="G95" s="60">
        <v>60.45</v>
      </c>
      <c r="H95" s="39"/>
      <c r="I95" s="39"/>
      <c r="J95" s="39"/>
      <c r="K95" s="39"/>
      <c r="L95" s="39"/>
      <c r="M95" s="39"/>
      <c r="N95" s="39"/>
    </row>
    <row r="96">
      <c r="A96" s="59">
        <v>45483.0</v>
      </c>
      <c r="B96" s="55">
        <v>13.45</v>
      </c>
      <c r="C96" s="55">
        <v>190.39</v>
      </c>
      <c r="D96" s="55">
        <v>22.01</v>
      </c>
      <c r="E96" s="55">
        <v>0.0</v>
      </c>
      <c r="F96" s="55">
        <v>0.0</v>
      </c>
      <c r="G96" s="60">
        <v>36.2</v>
      </c>
      <c r="H96" s="39"/>
      <c r="I96" s="39"/>
      <c r="J96" s="39"/>
      <c r="K96" s="39"/>
      <c r="L96" s="39"/>
      <c r="M96" s="39"/>
      <c r="N96" s="39"/>
    </row>
    <row r="97">
      <c r="A97" s="59">
        <v>45485.0</v>
      </c>
      <c r="B97" s="55">
        <v>40.09</v>
      </c>
      <c r="C97" s="55">
        <v>144.56</v>
      </c>
      <c r="D97" s="55">
        <v>0.0</v>
      </c>
      <c r="E97" s="55">
        <v>0.0</v>
      </c>
      <c r="F97" s="55">
        <v>28.9</v>
      </c>
      <c r="G97" s="60">
        <v>58.2</v>
      </c>
      <c r="H97" s="39"/>
      <c r="I97" s="39"/>
      <c r="J97" s="39"/>
      <c r="K97" s="39"/>
      <c r="L97" s="39"/>
      <c r="M97" s="39"/>
      <c r="N97" s="39"/>
    </row>
    <row r="98">
      <c r="A98" s="23">
        <v>45488.0</v>
      </c>
      <c r="B98" s="55">
        <v>41.35</v>
      </c>
      <c r="C98" s="55">
        <v>132.27</v>
      </c>
      <c r="D98" s="55">
        <v>45.79</v>
      </c>
      <c r="E98" s="55">
        <v>0.0</v>
      </c>
      <c r="F98" s="55">
        <v>38.09</v>
      </c>
      <c r="G98" s="60">
        <v>95.06</v>
      </c>
      <c r="H98" s="39"/>
      <c r="I98" s="39"/>
      <c r="J98" s="39"/>
      <c r="K98" s="39"/>
      <c r="L98" s="39"/>
      <c r="M98" s="39"/>
      <c r="N98" s="39"/>
    </row>
    <row r="99">
      <c r="A99" s="59">
        <v>45492.0</v>
      </c>
      <c r="B99" s="55">
        <v>51.2</v>
      </c>
      <c r="C99" s="55">
        <v>232.23</v>
      </c>
      <c r="D99" s="55">
        <v>0.0</v>
      </c>
      <c r="E99" s="55">
        <v>0.0</v>
      </c>
      <c r="F99" s="55">
        <v>175.95</v>
      </c>
      <c r="G99" s="60">
        <v>60.53</v>
      </c>
      <c r="H99" s="39"/>
      <c r="I99" s="39"/>
      <c r="J99" s="39"/>
      <c r="K99" s="39"/>
      <c r="L99" s="39"/>
      <c r="M99" s="39"/>
      <c r="N99" s="39"/>
    </row>
    <row r="100">
      <c r="A100" s="59">
        <v>45496.0</v>
      </c>
      <c r="B100" s="55">
        <v>56.67</v>
      </c>
      <c r="C100" s="55">
        <v>192.04</v>
      </c>
      <c r="D100" s="55">
        <v>0.0</v>
      </c>
      <c r="E100" s="55">
        <v>0.0</v>
      </c>
      <c r="F100" s="55">
        <v>61.07</v>
      </c>
      <c r="G100" s="60">
        <v>77.0</v>
      </c>
      <c r="H100" s="39"/>
      <c r="I100" s="39"/>
      <c r="J100" s="39"/>
      <c r="K100" s="39"/>
      <c r="L100" s="39"/>
      <c r="M100" s="39"/>
      <c r="N100" s="39"/>
    </row>
    <row r="101">
      <c r="A101" s="59">
        <v>45497.0</v>
      </c>
      <c r="B101" s="55">
        <v>0.0</v>
      </c>
      <c r="C101" s="55">
        <v>119.07</v>
      </c>
      <c r="D101" s="55">
        <v>0.0</v>
      </c>
      <c r="E101" s="55">
        <v>0.0</v>
      </c>
      <c r="F101" s="55">
        <v>0.0</v>
      </c>
      <c r="G101" s="60">
        <v>0.0</v>
      </c>
      <c r="H101" s="39"/>
      <c r="I101" s="39"/>
      <c r="J101" s="39"/>
      <c r="K101" s="39"/>
      <c r="L101" s="39"/>
      <c r="M101" s="39"/>
      <c r="N101" s="39"/>
    </row>
    <row r="102">
      <c r="A102" s="59">
        <v>45498.0</v>
      </c>
      <c r="B102" s="55">
        <v>0.0</v>
      </c>
      <c r="C102" s="55">
        <v>105.55</v>
      </c>
      <c r="D102" s="55">
        <v>0.0</v>
      </c>
      <c r="E102" s="55">
        <v>0.0</v>
      </c>
      <c r="F102" s="55">
        <v>56.08</v>
      </c>
      <c r="G102" s="60">
        <v>21.01</v>
      </c>
      <c r="H102" s="39"/>
      <c r="I102" s="39"/>
      <c r="J102" s="39"/>
      <c r="K102" s="39"/>
      <c r="L102" s="39"/>
      <c r="M102" s="39"/>
      <c r="N102" s="39"/>
    </row>
    <row r="103">
      <c r="A103" s="59">
        <v>45499.0</v>
      </c>
      <c r="B103" s="55">
        <v>0.0</v>
      </c>
      <c r="C103" s="55">
        <v>113.91</v>
      </c>
      <c r="D103" s="55">
        <v>0.0</v>
      </c>
      <c r="E103" s="55">
        <v>0.0</v>
      </c>
      <c r="F103" s="55">
        <v>55.7</v>
      </c>
      <c r="G103" s="60">
        <v>41.09</v>
      </c>
      <c r="H103" s="39"/>
      <c r="I103" s="39"/>
      <c r="J103" s="39"/>
      <c r="K103" s="39"/>
      <c r="L103" s="39"/>
      <c r="M103" s="39"/>
      <c r="N103" s="39"/>
    </row>
    <row r="104">
      <c r="A104" s="59">
        <v>45502.0</v>
      </c>
      <c r="B104" s="67">
        <v>18.55</v>
      </c>
      <c r="C104" s="67">
        <v>141.44</v>
      </c>
      <c r="D104" s="55">
        <v>0.0</v>
      </c>
      <c r="E104" s="55">
        <v>0.0</v>
      </c>
      <c r="F104" s="67">
        <v>68.78</v>
      </c>
      <c r="G104" s="67">
        <v>103.55</v>
      </c>
      <c r="H104" s="39"/>
      <c r="I104" s="39"/>
      <c r="J104" s="39"/>
      <c r="K104" s="39"/>
      <c r="L104" s="39"/>
      <c r="M104" s="39"/>
      <c r="N104" s="39"/>
    </row>
    <row r="105">
      <c r="A105" s="59">
        <v>45503.0</v>
      </c>
      <c r="B105" s="67">
        <v>15.67</v>
      </c>
      <c r="C105" s="67">
        <v>214.5</v>
      </c>
      <c r="D105" s="55">
        <v>0.0</v>
      </c>
      <c r="E105" s="55">
        <v>0.0</v>
      </c>
      <c r="F105" s="67">
        <v>130.01</v>
      </c>
      <c r="G105" s="67">
        <v>89.9</v>
      </c>
      <c r="H105" s="39"/>
      <c r="I105" s="39"/>
      <c r="J105" s="39"/>
      <c r="K105" s="39"/>
      <c r="L105" s="39"/>
      <c r="M105" s="39"/>
      <c r="N105" s="39"/>
    </row>
    <row r="106">
      <c r="A106" s="59">
        <v>45505.0</v>
      </c>
      <c r="B106" s="55">
        <v>14.5</v>
      </c>
      <c r="C106" s="55">
        <v>137.44</v>
      </c>
      <c r="D106" s="55">
        <v>0.0</v>
      </c>
      <c r="E106" s="55">
        <v>0.0</v>
      </c>
      <c r="F106" s="55">
        <v>47.35</v>
      </c>
      <c r="G106" s="60">
        <v>44.01</v>
      </c>
      <c r="H106" s="39"/>
      <c r="I106" s="39"/>
      <c r="J106" s="39"/>
      <c r="K106" s="39"/>
      <c r="L106" s="39"/>
      <c r="M106" s="39"/>
      <c r="N106" s="39"/>
    </row>
    <row r="107">
      <c r="A107" s="59">
        <v>45509.0</v>
      </c>
      <c r="B107" s="55">
        <v>61.35</v>
      </c>
      <c r="C107" s="55">
        <v>161.0</v>
      </c>
      <c r="D107" s="55">
        <v>0.0</v>
      </c>
      <c r="E107" s="55">
        <v>0.0</v>
      </c>
      <c r="F107" s="55">
        <v>89.15</v>
      </c>
      <c r="G107" s="60">
        <v>78.55</v>
      </c>
      <c r="H107" s="39"/>
      <c r="I107" s="39"/>
      <c r="J107" s="39"/>
      <c r="K107" s="39"/>
      <c r="L107" s="39"/>
      <c r="M107" s="39"/>
      <c r="N107" s="39"/>
    </row>
    <row r="108">
      <c r="A108" s="59">
        <v>45511.0</v>
      </c>
      <c r="B108" s="55">
        <v>29.3</v>
      </c>
      <c r="C108" s="55">
        <v>163.16</v>
      </c>
      <c r="D108" s="55">
        <v>0.0</v>
      </c>
      <c r="E108" s="55">
        <v>0.0</v>
      </c>
      <c r="F108" s="55">
        <v>125.16</v>
      </c>
      <c r="G108" s="60">
        <v>58.01</v>
      </c>
      <c r="H108" s="39"/>
      <c r="I108" s="39"/>
      <c r="J108" s="39"/>
      <c r="K108" s="39"/>
      <c r="L108" s="39"/>
      <c r="M108" s="39"/>
      <c r="N108" s="39"/>
    </row>
    <row r="109">
      <c r="A109" s="59">
        <v>45513.0</v>
      </c>
      <c r="B109" s="55">
        <v>0.0</v>
      </c>
      <c r="C109" s="55">
        <v>100.98</v>
      </c>
      <c r="D109" s="55">
        <v>0.0</v>
      </c>
      <c r="E109" s="55">
        <v>0.0</v>
      </c>
      <c r="F109" s="55">
        <v>105.36</v>
      </c>
      <c r="G109" s="60">
        <v>43.57</v>
      </c>
      <c r="H109" s="39"/>
      <c r="I109" s="39"/>
      <c r="J109" s="39"/>
      <c r="K109" s="39"/>
      <c r="L109" s="39"/>
      <c r="M109" s="39"/>
      <c r="N109" s="39"/>
    </row>
    <row r="110">
      <c r="A110" s="59">
        <v>45516.0</v>
      </c>
      <c r="B110" s="55">
        <v>66.77</v>
      </c>
      <c r="C110" s="55">
        <v>253.35</v>
      </c>
      <c r="D110" s="55">
        <v>0.0</v>
      </c>
      <c r="E110" s="55">
        <v>0.0</v>
      </c>
      <c r="F110" s="55">
        <v>180.12</v>
      </c>
      <c r="G110" s="60">
        <v>101.9</v>
      </c>
      <c r="H110" s="39"/>
      <c r="I110" s="39"/>
      <c r="J110" s="39"/>
      <c r="K110" s="39"/>
      <c r="L110" s="39"/>
      <c r="M110" s="39"/>
      <c r="N110" s="39"/>
    </row>
    <row r="111">
      <c r="A111" s="59">
        <v>45518.0</v>
      </c>
      <c r="B111" s="55">
        <v>22.3</v>
      </c>
      <c r="C111" s="55">
        <v>209.85</v>
      </c>
      <c r="D111" s="55">
        <v>0.0</v>
      </c>
      <c r="E111" s="55">
        <v>0.0</v>
      </c>
      <c r="F111" s="55">
        <v>82.0</v>
      </c>
      <c r="G111" s="60">
        <v>50.45</v>
      </c>
      <c r="H111" s="39"/>
      <c r="I111" s="39"/>
      <c r="J111" s="39"/>
      <c r="K111" s="39"/>
      <c r="L111" s="39"/>
      <c r="M111" s="39"/>
      <c r="N111" s="39"/>
    </row>
    <row r="112">
      <c r="A112" s="59">
        <v>45520.0</v>
      </c>
      <c r="B112" s="55">
        <v>22.71</v>
      </c>
      <c r="C112" s="55">
        <v>121.76</v>
      </c>
      <c r="D112" s="55">
        <v>0.0</v>
      </c>
      <c r="E112" s="55">
        <v>0.0</v>
      </c>
      <c r="F112" s="55">
        <v>92.1</v>
      </c>
      <c r="G112" s="60">
        <v>62.1</v>
      </c>
      <c r="H112" s="39"/>
      <c r="I112" s="39"/>
      <c r="J112" s="39"/>
      <c r="K112" s="39"/>
      <c r="L112" s="39"/>
      <c r="M112" s="39"/>
      <c r="N112" s="39"/>
    </row>
    <row r="113">
      <c r="A113" s="59">
        <v>45523.0</v>
      </c>
      <c r="B113" s="55">
        <v>0.0</v>
      </c>
      <c r="C113" s="55">
        <v>285.67</v>
      </c>
      <c r="D113" s="55">
        <v>0.0</v>
      </c>
      <c r="E113" s="55">
        <v>0.0</v>
      </c>
      <c r="F113" s="55">
        <v>0.0</v>
      </c>
      <c r="G113" s="60">
        <v>0.0</v>
      </c>
      <c r="H113" s="39"/>
      <c r="I113" s="39"/>
      <c r="J113" s="39"/>
      <c r="K113" s="39"/>
      <c r="L113" s="39"/>
      <c r="M113" s="39"/>
      <c r="N113" s="39"/>
    </row>
    <row r="114">
      <c r="A114" s="59">
        <v>45525.0</v>
      </c>
      <c r="B114" s="55">
        <v>18.75</v>
      </c>
      <c r="C114" s="55">
        <v>255.89</v>
      </c>
      <c r="D114" s="55">
        <v>0.0</v>
      </c>
      <c r="E114" s="55">
        <v>0.0</v>
      </c>
      <c r="F114" s="55">
        <v>0.0</v>
      </c>
      <c r="G114" s="60">
        <v>41.01</v>
      </c>
      <c r="H114" s="39"/>
      <c r="I114" s="39"/>
      <c r="J114" s="39"/>
      <c r="K114" s="39"/>
      <c r="L114" s="39"/>
      <c r="M114" s="39"/>
      <c r="N114" s="39"/>
    </row>
    <row r="115">
      <c r="A115" s="59">
        <v>45527.0</v>
      </c>
      <c r="B115" s="55">
        <v>0.0</v>
      </c>
      <c r="C115" s="55">
        <v>221.1</v>
      </c>
      <c r="D115" s="55">
        <v>0.0</v>
      </c>
      <c r="E115" s="55">
        <v>0.0</v>
      </c>
      <c r="F115" s="55">
        <v>0.0</v>
      </c>
      <c r="G115" s="60">
        <v>47.2</v>
      </c>
      <c r="H115" s="39"/>
      <c r="I115" s="39"/>
      <c r="J115" s="39"/>
      <c r="K115" s="39"/>
      <c r="L115" s="39"/>
      <c r="M115" s="39"/>
      <c r="N115" s="39"/>
    </row>
    <row r="116">
      <c r="A116" s="59">
        <v>45530.0</v>
      </c>
      <c r="B116" s="55">
        <v>57.92</v>
      </c>
      <c r="C116" s="55">
        <v>293.52</v>
      </c>
      <c r="D116" s="55">
        <v>0.0</v>
      </c>
      <c r="E116" s="55">
        <v>0.0</v>
      </c>
      <c r="F116" s="55">
        <v>0.0</v>
      </c>
      <c r="G116" s="60">
        <v>151.01</v>
      </c>
      <c r="H116" s="39"/>
      <c r="I116" s="39"/>
      <c r="J116" s="39"/>
      <c r="K116" s="39"/>
      <c r="L116" s="39"/>
      <c r="M116" s="39"/>
      <c r="N116" s="39"/>
    </row>
    <row r="117">
      <c r="A117" s="59">
        <v>45532.0</v>
      </c>
      <c r="B117" s="55">
        <v>8.75</v>
      </c>
      <c r="C117" s="55">
        <v>257.85</v>
      </c>
      <c r="D117" s="55">
        <v>0.0</v>
      </c>
      <c r="E117" s="55">
        <v>0.0</v>
      </c>
      <c r="F117" s="55">
        <v>0.0</v>
      </c>
      <c r="G117" s="60">
        <v>42.75</v>
      </c>
      <c r="H117" s="39"/>
      <c r="I117" s="39"/>
      <c r="J117" s="39"/>
      <c r="K117" s="39"/>
      <c r="L117" s="39"/>
      <c r="M117" s="39"/>
      <c r="N117" s="39"/>
    </row>
    <row r="118">
      <c r="A118" s="59">
        <v>45534.0</v>
      </c>
      <c r="B118" s="55">
        <v>158.16</v>
      </c>
      <c r="C118" s="55">
        <v>160.85</v>
      </c>
      <c r="D118" s="55">
        <v>0.0</v>
      </c>
      <c r="E118" s="55">
        <v>0.0</v>
      </c>
      <c r="F118" s="55">
        <v>0.0</v>
      </c>
      <c r="G118" s="60">
        <v>46.3</v>
      </c>
      <c r="H118" s="39"/>
      <c r="I118" s="39"/>
      <c r="J118" s="39"/>
      <c r="K118" s="39"/>
      <c r="L118" s="39"/>
      <c r="M118" s="39"/>
      <c r="N118" s="39"/>
    </row>
    <row r="119">
      <c r="A119" s="59">
        <v>45538.0</v>
      </c>
      <c r="B119" s="55">
        <v>64.09</v>
      </c>
      <c r="C119" s="55">
        <v>320.33</v>
      </c>
      <c r="D119" s="55">
        <v>0.0</v>
      </c>
      <c r="E119" s="55">
        <v>0.0</v>
      </c>
      <c r="F119" s="55">
        <v>0.0</v>
      </c>
      <c r="G119" s="60">
        <v>110.37</v>
      </c>
      <c r="H119" s="39"/>
      <c r="I119" s="39"/>
      <c r="J119" s="39"/>
      <c r="K119" s="39"/>
      <c r="L119" s="39"/>
      <c r="M119" s="39"/>
      <c r="N119" s="39"/>
    </row>
    <row r="120">
      <c r="A120" s="59">
        <v>45541.0</v>
      </c>
      <c r="B120" s="55">
        <v>131.45</v>
      </c>
      <c r="C120" s="55">
        <v>234.0</v>
      </c>
      <c r="D120" s="55">
        <v>0.0</v>
      </c>
      <c r="E120" s="55">
        <v>0.0</v>
      </c>
      <c r="F120" s="55">
        <v>0.0</v>
      </c>
      <c r="G120" s="60">
        <v>57.37</v>
      </c>
      <c r="H120" s="39"/>
      <c r="I120" s="39"/>
      <c r="J120" s="39"/>
      <c r="K120" s="39"/>
      <c r="L120" s="39"/>
      <c r="M120" s="39"/>
      <c r="N120" s="39"/>
    </row>
    <row r="121">
      <c r="A121" s="59">
        <v>45544.0</v>
      </c>
      <c r="B121" s="55">
        <v>219.86</v>
      </c>
      <c r="C121" s="55">
        <v>191.16</v>
      </c>
      <c r="D121" s="55">
        <v>0.0</v>
      </c>
      <c r="E121" s="55">
        <v>0.0</v>
      </c>
      <c r="F121" s="55">
        <v>0.0</v>
      </c>
      <c r="G121" s="60">
        <v>68.92</v>
      </c>
      <c r="H121" s="39"/>
      <c r="I121" s="39"/>
      <c r="J121" s="39"/>
      <c r="K121" s="39"/>
      <c r="L121" s="39"/>
      <c r="M121" s="39"/>
      <c r="N121" s="39"/>
    </row>
    <row r="122">
      <c r="A122" s="59">
        <v>45547.0</v>
      </c>
      <c r="B122" s="55">
        <v>89.36</v>
      </c>
      <c r="C122" s="55">
        <v>140.75</v>
      </c>
      <c r="D122" s="55">
        <v>0.0</v>
      </c>
      <c r="E122" s="55">
        <v>0.0</v>
      </c>
      <c r="F122" s="55">
        <v>0.0</v>
      </c>
      <c r="G122" s="60">
        <v>45.89</v>
      </c>
      <c r="H122" s="39"/>
      <c r="I122" s="39"/>
      <c r="J122" s="39"/>
      <c r="K122" s="39"/>
      <c r="L122" s="39"/>
      <c r="M122" s="39"/>
      <c r="N122" s="39"/>
    </row>
    <row r="123">
      <c r="A123" s="59">
        <v>45551.0</v>
      </c>
      <c r="B123" s="55">
        <v>0.0</v>
      </c>
      <c r="C123" s="55">
        <v>259.0</v>
      </c>
      <c r="D123" s="55">
        <v>0.0</v>
      </c>
      <c r="E123" s="55">
        <v>0.0</v>
      </c>
      <c r="F123" s="55">
        <v>0.0</v>
      </c>
      <c r="G123" s="60">
        <v>0.0</v>
      </c>
      <c r="H123" s="39"/>
      <c r="I123" s="39"/>
      <c r="J123" s="39"/>
      <c r="K123" s="39"/>
      <c r="L123" s="39"/>
      <c r="M123" s="39"/>
      <c r="N123" s="39"/>
    </row>
    <row r="124">
      <c r="A124" s="59">
        <v>45555.0</v>
      </c>
      <c r="B124" s="55">
        <v>317.94</v>
      </c>
      <c r="C124" s="55">
        <v>142.84</v>
      </c>
      <c r="D124" s="55">
        <v>0.0</v>
      </c>
      <c r="E124" s="55">
        <v>0.0</v>
      </c>
      <c r="F124" s="55">
        <v>0.0</v>
      </c>
      <c r="G124" s="60">
        <v>41.0</v>
      </c>
      <c r="H124" s="39"/>
      <c r="I124" s="39"/>
      <c r="J124" s="39"/>
      <c r="K124" s="39"/>
      <c r="L124" s="39"/>
      <c r="M124" s="39"/>
      <c r="N124" s="39"/>
    </row>
    <row r="125">
      <c r="A125" s="59">
        <v>45558.0</v>
      </c>
      <c r="B125" s="55">
        <v>269.32</v>
      </c>
      <c r="C125" s="55">
        <v>212.66</v>
      </c>
      <c r="D125" s="55">
        <v>0.0</v>
      </c>
      <c r="E125" s="55">
        <v>0.0</v>
      </c>
      <c r="F125" s="55">
        <v>0.0</v>
      </c>
      <c r="G125" s="60">
        <v>89.78</v>
      </c>
      <c r="H125" s="39"/>
      <c r="I125" s="39"/>
      <c r="J125" s="39"/>
      <c r="K125" s="39"/>
      <c r="L125" s="39"/>
      <c r="M125" s="39"/>
      <c r="N125" s="39"/>
    </row>
    <row r="126">
      <c r="A126" s="59">
        <v>45562.0</v>
      </c>
      <c r="B126" s="55">
        <v>342.44</v>
      </c>
      <c r="C126" s="55">
        <v>171.09</v>
      </c>
      <c r="D126" s="55">
        <v>0.0</v>
      </c>
      <c r="E126" s="55">
        <v>0.0</v>
      </c>
      <c r="F126" s="55">
        <v>0.0</v>
      </c>
      <c r="G126" s="60">
        <v>52.35</v>
      </c>
      <c r="H126" s="39"/>
      <c r="I126" s="39"/>
      <c r="J126" s="39"/>
      <c r="K126" s="39"/>
      <c r="L126" s="39"/>
      <c r="M126" s="39"/>
      <c r="N126" s="39"/>
    </row>
    <row r="127">
      <c r="A127" s="59">
        <v>45565.0</v>
      </c>
      <c r="B127" s="55">
        <v>99.99</v>
      </c>
      <c r="C127" s="55">
        <v>394.02</v>
      </c>
      <c r="D127" s="55">
        <v>0.0</v>
      </c>
      <c r="E127" s="55">
        <v>0.0</v>
      </c>
      <c r="F127" s="55">
        <v>0.0</v>
      </c>
      <c r="G127" s="60">
        <v>118.35</v>
      </c>
      <c r="H127" s="39"/>
      <c r="I127" s="39"/>
      <c r="J127" s="39"/>
      <c r="K127" s="39"/>
      <c r="L127" s="39"/>
      <c r="M127" s="39"/>
      <c r="N127" s="39"/>
    </row>
    <row r="128">
      <c r="A128" s="59">
        <v>45567.0</v>
      </c>
      <c r="B128" s="55">
        <v>49.78</v>
      </c>
      <c r="C128" s="55">
        <v>239.74</v>
      </c>
      <c r="D128" s="55">
        <v>0.0</v>
      </c>
      <c r="E128" s="55">
        <v>0.0</v>
      </c>
      <c r="F128" s="55">
        <v>0.0</v>
      </c>
      <c r="G128" s="60">
        <v>18.04</v>
      </c>
      <c r="H128" s="39"/>
      <c r="I128" s="39"/>
      <c r="J128" s="39"/>
      <c r="K128" s="39"/>
      <c r="L128" s="39"/>
      <c r="M128" s="39"/>
      <c r="N128" s="39"/>
    </row>
    <row r="129">
      <c r="A129" s="59">
        <v>45569.0</v>
      </c>
      <c r="B129" s="55">
        <v>112.35</v>
      </c>
      <c r="C129" s="55">
        <v>203.5</v>
      </c>
      <c r="D129" s="55">
        <v>0.0</v>
      </c>
      <c r="E129" s="55">
        <v>0.0</v>
      </c>
      <c r="F129" s="55">
        <v>0.0</v>
      </c>
      <c r="G129" s="60">
        <v>103.55</v>
      </c>
      <c r="H129" s="39"/>
      <c r="I129" s="39"/>
      <c r="J129" s="39"/>
      <c r="K129" s="39"/>
      <c r="L129" s="39"/>
      <c r="M129" s="39"/>
      <c r="N129" s="39"/>
    </row>
    <row r="130">
      <c r="A130" s="59">
        <v>45572.0</v>
      </c>
      <c r="B130" s="55">
        <v>44.65</v>
      </c>
      <c r="C130" s="55">
        <v>207.5</v>
      </c>
      <c r="D130" s="55">
        <v>0.0</v>
      </c>
      <c r="E130" s="55">
        <v>0.0</v>
      </c>
      <c r="F130" s="55">
        <v>0.0</v>
      </c>
      <c r="G130" s="60">
        <v>77.9</v>
      </c>
      <c r="H130" s="39"/>
      <c r="I130" s="39"/>
      <c r="J130" s="39"/>
      <c r="K130" s="39"/>
      <c r="L130" s="39"/>
      <c r="M130" s="39"/>
      <c r="N130" s="39"/>
    </row>
    <row r="131">
      <c r="A131" s="59">
        <v>45575.0</v>
      </c>
      <c r="B131" s="55">
        <v>435.62</v>
      </c>
      <c r="C131" s="55">
        <v>199.94</v>
      </c>
      <c r="D131" s="55">
        <v>0.0</v>
      </c>
      <c r="E131" s="55">
        <v>0.0</v>
      </c>
      <c r="F131" s="55">
        <v>0.0</v>
      </c>
      <c r="G131" s="60">
        <v>0.0</v>
      </c>
      <c r="H131" s="39"/>
      <c r="I131" s="39"/>
      <c r="J131" s="39"/>
      <c r="K131" s="39"/>
      <c r="L131" s="39"/>
      <c r="M131" s="39"/>
      <c r="N131" s="39"/>
    </row>
    <row r="132">
      <c r="A132" s="59">
        <v>45576.0</v>
      </c>
      <c r="B132" s="55">
        <v>0.0</v>
      </c>
      <c r="C132" s="55">
        <v>123.07</v>
      </c>
      <c r="D132" s="55">
        <v>0.0</v>
      </c>
      <c r="E132" s="55">
        <v>0.0</v>
      </c>
      <c r="F132" s="55">
        <v>0.0</v>
      </c>
      <c r="G132" s="60">
        <v>42.2</v>
      </c>
      <c r="H132" s="39"/>
      <c r="I132" s="39"/>
      <c r="J132" s="39"/>
      <c r="K132" s="39"/>
      <c r="L132" s="39"/>
      <c r="M132" s="39"/>
      <c r="N132" s="39"/>
    </row>
    <row r="133">
      <c r="A133" s="59">
        <v>45579.0</v>
      </c>
      <c r="B133" s="55">
        <v>115.67</v>
      </c>
      <c r="C133" s="55">
        <v>365.19</v>
      </c>
      <c r="D133" s="55">
        <v>0.0</v>
      </c>
      <c r="E133" s="55">
        <v>0.0</v>
      </c>
      <c r="F133" s="55">
        <v>0.0</v>
      </c>
      <c r="G133" s="60">
        <v>61.35</v>
      </c>
      <c r="H133" s="39"/>
      <c r="I133" s="39"/>
      <c r="J133" s="39"/>
      <c r="K133" s="39"/>
      <c r="L133" s="39"/>
      <c r="M133" s="39"/>
      <c r="N133" s="39"/>
    </row>
    <row r="134">
      <c r="A134" s="59">
        <v>45581.0</v>
      </c>
      <c r="B134" s="55">
        <v>37.8</v>
      </c>
      <c r="C134" s="55">
        <v>139.72</v>
      </c>
      <c r="D134" s="55">
        <v>0.0</v>
      </c>
      <c r="E134" s="55">
        <v>0.0</v>
      </c>
      <c r="F134" s="55">
        <v>0.0</v>
      </c>
      <c r="G134" s="60">
        <v>62.35</v>
      </c>
      <c r="H134" s="39"/>
      <c r="I134" s="39"/>
      <c r="J134" s="39"/>
      <c r="K134" s="39"/>
      <c r="L134" s="39"/>
      <c r="M134" s="39"/>
      <c r="N134" s="39"/>
    </row>
    <row r="135">
      <c r="A135" s="59">
        <v>45583.0</v>
      </c>
      <c r="B135" s="55">
        <v>230.56</v>
      </c>
      <c r="C135" s="55">
        <v>391.78</v>
      </c>
      <c r="D135" s="55">
        <v>0.0</v>
      </c>
      <c r="E135" s="55">
        <v>0.0</v>
      </c>
      <c r="F135" s="55">
        <v>0.0</v>
      </c>
      <c r="G135" s="60">
        <v>0.0</v>
      </c>
      <c r="H135" s="39"/>
      <c r="I135" s="39"/>
      <c r="J135" s="39"/>
      <c r="K135" s="39"/>
      <c r="L135" s="39"/>
      <c r="M135" s="39"/>
      <c r="N135" s="39"/>
    </row>
    <row r="136">
      <c r="A136" s="59">
        <v>45586.0</v>
      </c>
      <c r="B136" s="55">
        <v>0.0</v>
      </c>
      <c r="C136" s="55">
        <v>190.25</v>
      </c>
      <c r="D136" s="55">
        <v>0.0</v>
      </c>
      <c r="E136" s="55">
        <v>0.0</v>
      </c>
      <c r="F136" s="55">
        <v>0.0</v>
      </c>
      <c r="G136" s="60">
        <v>58.05</v>
      </c>
      <c r="H136" s="39"/>
      <c r="I136" s="39"/>
      <c r="J136" s="39"/>
      <c r="K136" s="39"/>
      <c r="L136" s="39"/>
      <c r="M136" s="39"/>
      <c r="N136" s="39"/>
    </row>
    <row r="137">
      <c r="A137" s="59">
        <v>45588.0</v>
      </c>
      <c r="B137" s="55">
        <v>290.97</v>
      </c>
      <c r="C137" s="55">
        <v>157.35</v>
      </c>
      <c r="D137" s="55">
        <v>0.0</v>
      </c>
      <c r="E137" s="55">
        <v>0.0</v>
      </c>
      <c r="F137" s="55">
        <v>0.0</v>
      </c>
      <c r="G137" s="60">
        <v>57.35</v>
      </c>
      <c r="H137" s="39"/>
      <c r="I137" s="39"/>
      <c r="J137" s="39"/>
      <c r="K137" s="39"/>
      <c r="L137" s="39"/>
      <c r="M137" s="39"/>
      <c r="N137" s="39"/>
    </row>
    <row r="138">
      <c r="A138" s="59">
        <v>45590.0</v>
      </c>
      <c r="B138" s="55">
        <v>0.0</v>
      </c>
      <c r="C138" s="55">
        <v>205.67</v>
      </c>
      <c r="D138" s="55">
        <v>0.0</v>
      </c>
      <c r="E138" s="55">
        <v>0.0</v>
      </c>
      <c r="F138" s="55">
        <v>0.0</v>
      </c>
      <c r="G138" s="60">
        <v>52.39</v>
      </c>
      <c r="H138" s="39"/>
      <c r="I138" s="39"/>
      <c r="J138" s="39"/>
      <c r="K138" s="39"/>
      <c r="L138" s="39"/>
      <c r="M138" s="39"/>
      <c r="N138" s="39"/>
    </row>
    <row r="139">
      <c r="A139" s="59">
        <v>45594.0</v>
      </c>
      <c r="B139" s="55">
        <v>138.9</v>
      </c>
      <c r="C139" s="55">
        <v>225.43</v>
      </c>
      <c r="D139" s="55">
        <v>0.0</v>
      </c>
      <c r="E139" s="55">
        <v>0.0</v>
      </c>
      <c r="F139" s="55">
        <v>0.0</v>
      </c>
      <c r="G139" s="60">
        <v>62.45</v>
      </c>
      <c r="H139" s="39"/>
      <c r="I139" s="39"/>
      <c r="J139" s="39"/>
      <c r="K139" s="39"/>
      <c r="L139" s="39"/>
      <c r="M139" s="39"/>
      <c r="N139" s="39"/>
    </row>
    <row r="140">
      <c r="A140" s="59">
        <v>45595.0</v>
      </c>
      <c r="B140" s="55">
        <v>0.0</v>
      </c>
      <c r="C140" s="55">
        <v>130.03</v>
      </c>
      <c r="D140" s="55">
        <v>0.0</v>
      </c>
      <c r="E140" s="55">
        <v>0.0</v>
      </c>
      <c r="F140" s="55">
        <v>0.0</v>
      </c>
      <c r="G140" s="60">
        <v>36.78</v>
      </c>
      <c r="H140" s="39"/>
      <c r="I140" s="39"/>
      <c r="J140" s="39"/>
      <c r="K140" s="39"/>
      <c r="L140" s="39"/>
      <c r="M140" s="39"/>
      <c r="N140" s="39"/>
    </row>
    <row r="141">
      <c r="A141" s="59">
        <v>45597.0</v>
      </c>
      <c r="B141" s="55">
        <v>256.17</v>
      </c>
      <c r="C141" s="55">
        <v>233.88</v>
      </c>
      <c r="D141" s="55">
        <v>0.0</v>
      </c>
      <c r="E141" s="55">
        <v>0.0</v>
      </c>
      <c r="F141" s="55">
        <v>0.0</v>
      </c>
      <c r="G141" s="60">
        <v>48.0</v>
      </c>
      <c r="H141" s="39"/>
      <c r="I141" s="39"/>
      <c r="J141" s="39"/>
      <c r="K141" s="39"/>
      <c r="L141" s="39"/>
      <c r="M141" s="39"/>
      <c r="N141" s="39"/>
    </row>
    <row r="142">
      <c r="A142" s="59">
        <v>45603.0</v>
      </c>
      <c r="B142" s="55">
        <v>228.76</v>
      </c>
      <c r="C142" s="55">
        <v>349.49</v>
      </c>
      <c r="D142" s="55">
        <v>0.0</v>
      </c>
      <c r="E142" s="55">
        <v>0.0</v>
      </c>
      <c r="F142" s="55">
        <v>0.0</v>
      </c>
      <c r="G142" s="60">
        <v>102.35</v>
      </c>
      <c r="H142" s="39"/>
      <c r="I142" s="39"/>
      <c r="J142" s="39"/>
      <c r="K142" s="39"/>
      <c r="L142" s="39"/>
      <c r="M142" s="39"/>
      <c r="N142" s="39"/>
    </row>
    <row r="143">
      <c r="A143" s="59">
        <v>45607.0</v>
      </c>
      <c r="B143" s="55">
        <v>160.35</v>
      </c>
      <c r="C143" s="55">
        <v>387.42</v>
      </c>
      <c r="D143" s="55">
        <v>0.0</v>
      </c>
      <c r="E143" s="55">
        <v>0.0</v>
      </c>
      <c r="F143" s="55">
        <v>0.0</v>
      </c>
      <c r="G143" s="60">
        <v>48.98</v>
      </c>
      <c r="H143" s="39"/>
      <c r="I143" s="39"/>
      <c r="J143" s="39"/>
      <c r="K143" s="39"/>
      <c r="L143" s="39"/>
      <c r="M143" s="39"/>
      <c r="N143" s="39"/>
    </row>
    <row r="144">
      <c r="A144" s="59">
        <v>45609.0</v>
      </c>
      <c r="B144" s="55">
        <v>29.88</v>
      </c>
      <c r="C144" s="55">
        <v>119.87</v>
      </c>
      <c r="D144" s="55">
        <v>0.0</v>
      </c>
      <c r="E144" s="55">
        <v>0.0</v>
      </c>
      <c r="F144" s="55">
        <v>0.0</v>
      </c>
      <c r="G144" s="60">
        <v>58.0</v>
      </c>
      <c r="H144" s="39"/>
      <c r="I144" s="39"/>
      <c r="J144" s="39"/>
      <c r="K144" s="39"/>
      <c r="L144" s="39"/>
      <c r="M144" s="39"/>
      <c r="N144" s="39"/>
    </row>
    <row r="145">
      <c r="A145" s="59">
        <v>45615.0</v>
      </c>
      <c r="B145" s="55">
        <v>206.69</v>
      </c>
      <c r="C145" s="55">
        <v>379.71</v>
      </c>
      <c r="D145" s="55">
        <v>0.0</v>
      </c>
      <c r="E145" s="55">
        <v>0.0</v>
      </c>
      <c r="F145" s="55">
        <v>0.0</v>
      </c>
      <c r="G145" s="60">
        <v>82.36</v>
      </c>
      <c r="H145" s="39"/>
      <c r="I145" s="39"/>
      <c r="J145" s="39"/>
      <c r="K145" s="39"/>
      <c r="L145" s="39"/>
      <c r="M145" s="39"/>
      <c r="N145" s="39"/>
    </row>
    <row r="146">
      <c r="A146" s="59">
        <v>45617.0</v>
      </c>
      <c r="B146" s="55">
        <v>22.0</v>
      </c>
      <c r="C146" s="55">
        <v>140.66</v>
      </c>
      <c r="D146" s="55">
        <v>0.0</v>
      </c>
      <c r="E146" s="55">
        <v>0.0</v>
      </c>
      <c r="F146" s="55">
        <v>0.0</v>
      </c>
      <c r="G146" s="60">
        <v>18.73</v>
      </c>
      <c r="H146" s="39"/>
      <c r="I146" s="39"/>
      <c r="J146" s="39"/>
      <c r="K146" s="39"/>
      <c r="L146" s="39"/>
      <c r="M146" s="39"/>
      <c r="N146" s="39"/>
    </row>
    <row r="147">
      <c r="A147" s="59">
        <v>45621.0</v>
      </c>
      <c r="B147" s="55">
        <v>110.55</v>
      </c>
      <c r="C147" s="55">
        <v>161.61</v>
      </c>
      <c r="D147" s="55">
        <v>0.0</v>
      </c>
      <c r="E147" s="55">
        <v>0.0</v>
      </c>
      <c r="F147" s="55">
        <v>0.0</v>
      </c>
      <c r="G147" s="60">
        <v>76.36</v>
      </c>
      <c r="H147" s="39"/>
      <c r="I147" s="39"/>
      <c r="J147" s="39"/>
      <c r="K147" s="39"/>
      <c r="L147" s="39"/>
      <c r="M147" s="39"/>
      <c r="N147" s="39"/>
    </row>
    <row r="148">
      <c r="A148" s="59">
        <v>45623.0</v>
      </c>
      <c r="B148" s="55">
        <v>114.66</v>
      </c>
      <c r="C148" s="55">
        <v>187.2</v>
      </c>
      <c r="D148" s="55">
        <v>0.0</v>
      </c>
      <c r="E148" s="55">
        <v>0.0</v>
      </c>
      <c r="F148" s="55">
        <v>0.0</v>
      </c>
      <c r="G148" s="60">
        <v>67.38</v>
      </c>
      <c r="H148" s="39"/>
      <c r="I148" s="39"/>
      <c r="J148" s="39"/>
      <c r="K148" s="39"/>
      <c r="L148" s="39"/>
      <c r="M148" s="39"/>
      <c r="N148" s="39"/>
    </row>
    <row r="149">
      <c r="A149" s="59">
        <v>45625.0</v>
      </c>
      <c r="B149" s="55">
        <v>15.98</v>
      </c>
      <c r="C149" s="55">
        <v>203.29</v>
      </c>
      <c r="D149" s="55">
        <v>0.0</v>
      </c>
      <c r="E149" s="55">
        <v>0.0</v>
      </c>
      <c r="F149" s="55">
        <v>0.0</v>
      </c>
      <c r="G149" s="60">
        <v>50.88</v>
      </c>
      <c r="H149" s="39"/>
      <c r="I149" s="39"/>
      <c r="J149" s="39"/>
      <c r="K149" s="39"/>
      <c r="L149" s="39"/>
      <c r="M149" s="39"/>
      <c r="N149" s="39"/>
    </row>
    <row r="150">
      <c r="A150" s="59">
        <v>45628.0</v>
      </c>
      <c r="B150" s="55">
        <v>0.0</v>
      </c>
      <c r="C150" s="55">
        <v>211.52</v>
      </c>
      <c r="D150" s="55">
        <v>0.0</v>
      </c>
      <c r="E150" s="55">
        <v>0.0</v>
      </c>
      <c r="F150" s="55">
        <v>0.0</v>
      </c>
      <c r="G150" s="60">
        <v>58.36</v>
      </c>
      <c r="H150" s="39"/>
      <c r="I150" s="39"/>
      <c r="J150" s="39"/>
      <c r="K150" s="39"/>
      <c r="L150" s="39"/>
      <c r="M150" s="39"/>
      <c r="N150" s="39"/>
    </row>
    <row r="151">
      <c r="A151" s="59">
        <v>45630.0</v>
      </c>
      <c r="B151" s="55">
        <v>28.0</v>
      </c>
      <c r="C151" s="55">
        <v>283.69</v>
      </c>
      <c r="D151" s="55">
        <v>0.0</v>
      </c>
      <c r="E151" s="55">
        <v>0.0</v>
      </c>
      <c r="F151" s="55">
        <v>0.0</v>
      </c>
      <c r="G151" s="60">
        <v>53.89</v>
      </c>
      <c r="H151" s="39"/>
      <c r="I151" s="39"/>
      <c r="J151" s="39"/>
      <c r="K151" s="39"/>
      <c r="L151" s="39"/>
      <c r="M151" s="39"/>
      <c r="N151" s="39"/>
    </row>
    <row r="152">
      <c r="A152" s="59">
        <v>45635.0</v>
      </c>
      <c r="B152" s="55">
        <v>97.39</v>
      </c>
      <c r="C152" s="55">
        <v>296.37</v>
      </c>
      <c r="D152" s="55">
        <v>0.0</v>
      </c>
      <c r="E152" s="55">
        <v>0.0</v>
      </c>
      <c r="F152" s="55">
        <v>0.0</v>
      </c>
      <c r="G152" s="60">
        <v>23.78</v>
      </c>
      <c r="H152" s="39"/>
      <c r="I152" s="39"/>
      <c r="J152" s="39"/>
      <c r="K152" s="39"/>
      <c r="L152" s="39"/>
      <c r="M152" s="39"/>
      <c r="N152" s="39"/>
    </row>
    <row r="153">
      <c r="A153" s="59">
        <v>45638.0</v>
      </c>
      <c r="B153" s="55">
        <v>632.45</v>
      </c>
      <c r="C153" s="55">
        <v>37.0</v>
      </c>
      <c r="D153" s="55">
        <v>0.0</v>
      </c>
      <c r="E153" s="55">
        <v>0.0</v>
      </c>
      <c r="F153" s="55">
        <v>0.0</v>
      </c>
      <c r="G153" s="60">
        <v>41.2</v>
      </c>
      <c r="H153" s="39"/>
      <c r="I153" s="39"/>
      <c r="J153" s="39"/>
      <c r="K153" s="39"/>
      <c r="L153" s="39"/>
      <c r="M153" s="39"/>
      <c r="N153" s="39"/>
    </row>
    <row r="154">
      <c r="A154" s="59">
        <v>45639.0</v>
      </c>
      <c r="B154" s="55">
        <v>0.0</v>
      </c>
      <c r="C154" s="55">
        <v>145.89</v>
      </c>
      <c r="D154" s="55">
        <v>0.0</v>
      </c>
      <c r="E154" s="55">
        <v>0.0</v>
      </c>
      <c r="F154" s="55">
        <v>0.0</v>
      </c>
      <c r="G154" s="60">
        <v>13.22</v>
      </c>
      <c r="H154" s="39"/>
      <c r="I154" s="39"/>
      <c r="J154" s="39"/>
      <c r="K154" s="39"/>
      <c r="L154" s="39"/>
      <c r="M154" s="39"/>
      <c r="N154" s="39"/>
    </row>
    <row r="155">
      <c r="A155" s="59">
        <v>45643.0</v>
      </c>
      <c r="B155" s="55">
        <v>299.03</v>
      </c>
      <c r="C155" s="55">
        <v>250.42</v>
      </c>
      <c r="D155" s="55">
        <v>0.0</v>
      </c>
      <c r="E155" s="55">
        <v>0.0</v>
      </c>
      <c r="F155" s="55">
        <v>0.0</v>
      </c>
      <c r="G155" s="60">
        <v>0.0</v>
      </c>
      <c r="H155" s="39"/>
      <c r="I155" s="39"/>
      <c r="J155" s="39"/>
      <c r="K155" s="39"/>
      <c r="L155" s="39"/>
      <c r="M155" s="39"/>
      <c r="N155" s="39"/>
    </row>
    <row r="156">
      <c r="A156" s="59">
        <v>45646.0</v>
      </c>
      <c r="B156" s="55">
        <v>209.38</v>
      </c>
      <c r="C156" s="55">
        <v>168.77</v>
      </c>
      <c r="D156" s="55">
        <v>0.0</v>
      </c>
      <c r="E156" s="55">
        <v>0.0</v>
      </c>
      <c r="F156" s="55">
        <v>0.0</v>
      </c>
      <c r="G156" s="60">
        <v>23.75</v>
      </c>
      <c r="H156" s="39"/>
      <c r="I156" s="39"/>
      <c r="J156" s="39"/>
      <c r="K156" s="39"/>
      <c r="L156" s="39"/>
      <c r="M156" s="39"/>
      <c r="N156" s="39"/>
    </row>
    <row r="157">
      <c r="A157" s="59">
        <v>45649.0</v>
      </c>
      <c r="B157" s="55">
        <v>157.45</v>
      </c>
      <c r="C157" s="55">
        <v>452.75</v>
      </c>
      <c r="D157" s="55">
        <v>0.0</v>
      </c>
      <c r="E157" s="55">
        <v>0.0</v>
      </c>
      <c r="F157" s="55">
        <v>0.0</v>
      </c>
      <c r="G157" s="60">
        <v>0.0</v>
      </c>
      <c r="H157" s="39"/>
      <c r="I157" s="39"/>
      <c r="J157" s="39"/>
      <c r="K157" s="39"/>
      <c r="L157" s="39"/>
      <c r="M157" s="39"/>
      <c r="N157" s="39"/>
    </row>
    <row r="158">
      <c r="A158" s="59">
        <v>45652.0</v>
      </c>
      <c r="B158" s="55">
        <v>68.35</v>
      </c>
      <c r="C158" s="55">
        <v>380.43</v>
      </c>
      <c r="D158" s="55">
        <v>0.0</v>
      </c>
      <c r="E158" s="55">
        <v>0.0</v>
      </c>
      <c r="F158" s="55">
        <v>0.0</v>
      </c>
      <c r="G158" s="60">
        <v>0.0</v>
      </c>
      <c r="H158" s="39"/>
      <c r="I158" s="39"/>
      <c r="J158" s="39"/>
      <c r="K158" s="39"/>
      <c r="L158" s="39"/>
      <c r="M158" s="39"/>
      <c r="N158" s="39"/>
    </row>
    <row r="159">
      <c r="A159" s="59">
        <v>45653.0</v>
      </c>
      <c r="B159" s="55">
        <v>0.0</v>
      </c>
      <c r="C159" s="55">
        <v>318.77</v>
      </c>
      <c r="D159" s="55">
        <v>0.0</v>
      </c>
      <c r="E159" s="55">
        <v>0.0</v>
      </c>
      <c r="F159" s="55">
        <v>0.0</v>
      </c>
      <c r="G159" s="60">
        <v>0.0</v>
      </c>
      <c r="H159" s="39"/>
      <c r="I159" s="39"/>
      <c r="J159" s="39"/>
      <c r="K159" s="39"/>
      <c r="L159" s="39"/>
      <c r="M159" s="39"/>
      <c r="N159" s="39"/>
    </row>
    <row r="160">
      <c r="A160" s="59">
        <v>45656.0</v>
      </c>
      <c r="B160" s="55">
        <v>63.76</v>
      </c>
      <c r="C160" s="55">
        <v>348.21</v>
      </c>
      <c r="D160" s="55">
        <v>0.0</v>
      </c>
      <c r="E160" s="55">
        <v>0.0</v>
      </c>
      <c r="F160" s="55">
        <v>0.0</v>
      </c>
      <c r="G160" s="60">
        <v>23.75</v>
      </c>
      <c r="H160" s="39"/>
      <c r="I160" s="39"/>
      <c r="J160" s="39"/>
      <c r="K160" s="39"/>
      <c r="L160" s="39"/>
      <c r="M160" s="39"/>
      <c r="N160" s="39"/>
    </row>
    <row r="161">
      <c r="A161" s="59">
        <v>45659.0</v>
      </c>
      <c r="B161" s="55">
        <v>140.12</v>
      </c>
      <c r="C161" s="55">
        <v>97.35</v>
      </c>
      <c r="D161" s="55">
        <v>0.0</v>
      </c>
      <c r="E161" s="55">
        <v>0.0</v>
      </c>
      <c r="F161" s="55">
        <v>0.0</v>
      </c>
      <c r="G161" s="60">
        <v>0.0</v>
      </c>
      <c r="H161" s="39"/>
      <c r="I161" s="39"/>
      <c r="J161" s="39"/>
      <c r="K161" s="39"/>
      <c r="L161" s="39"/>
      <c r="M161" s="39"/>
      <c r="N161" s="39"/>
    </row>
    <row r="162">
      <c r="A162" s="59">
        <v>45663.0</v>
      </c>
      <c r="B162" s="55">
        <v>128.35</v>
      </c>
      <c r="C162" s="55">
        <v>583.58</v>
      </c>
      <c r="D162" s="55">
        <v>0.0</v>
      </c>
      <c r="E162" s="55">
        <v>0.0</v>
      </c>
      <c r="F162" s="55">
        <v>0.0</v>
      </c>
      <c r="G162" s="60">
        <v>27.0</v>
      </c>
      <c r="H162" s="39"/>
      <c r="I162" s="39"/>
      <c r="J162" s="39"/>
      <c r="K162" s="39"/>
      <c r="L162" s="39"/>
      <c r="M162" s="39"/>
      <c r="N162" s="39"/>
    </row>
    <row r="163">
      <c r="A163" s="59">
        <v>45665.0</v>
      </c>
      <c r="B163" s="55">
        <v>71.0</v>
      </c>
      <c r="C163" s="55">
        <v>182.12</v>
      </c>
      <c r="D163" s="55">
        <v>0.0</v>
      </c>
      <c r="E163" s="55">
        <v>0.0</v>
      </c>
      <c r="F163" s="55">
        <v>0.0</v>
      </c>
      <c r="G163" s="60">
        <v>0.0</v>
      </c>
      <c r="H163" s="39"/>
      <c r="I163" s="39"/>
      <c r="J163" s="39"/>
      <c r="K163" s="39"/>
      <c r="L163" s="39"/>
      <c r="M163" s="39"/>
      <c r="N163" s="39"/>
    </row>
    <row r="164">
      <c r="A164" s="59">
        <v>45667.0</v>
      </c>
      <c r="B164" s="55">
        <v>174.34</v>
      </c>
      <c r="C164" s="55">
        <v>124.77</v>
      </c>
      <c r="D164" s="55">
        <v>0.0</v>
      </c>
      <c r="E164" s="55">
        <v>0.0</v>
      </c>
      <c r="F164" s="55">
        <v>0.0</v>
      </c>
      <c r="G164" s="60">
        <v>22.14</v>
      </c>
      <c r="H164" s="39"/>
      <c r="I164" s="39"/>
      <c r="J164" s="39"/>
      <c r="K164" s="39"/>
      <c r="L164" s="39"/>
      <c r="M164" s="39"/>
      <c r="N164" s="39"/>
    </row>
    <row r="165">
      <c r="A165" s="59">
        <v>45671.0</v>
      </c>
      <c r="B165" s="55">
        <v>112.0</v>
      </c>
      <c r="C165" s="55">
        <v>211.155</v>
      </c>
      <c r="D165" s="55">
        <v>0.0</v>
      </c>
      <c r="E165" s="55">
        <v>0.0</v>
      </c>
      <c r="F165" s="55">
        <v>0.0</v>
      </c>
      <c r="G165" s="60">
        <v>63.885</v>
      </c>
      <c r="H165" s="39"/>
      <c r="I165" s="39"/>
      <c r="J165" s="39"/>
      <c r="K165" s="39"/>
      <c r="L165" s="39"/>
      <c r="M165" s="39"/>
      <c r="N165" s="39"/>
    </row>
    <row r="166">
      <c r="A166" s="59">
        <v>45672.0</v>
      </c>
      <c r="B166" s="55">
        <v>210.35</v>
      </c>
      <c r="C166" s="55">
        <v>164.78</v>
      </c>
      <c r="D166" s="55">
        <v>0.0</v>
      </c>
      <c r="E166" s="55">
        <v>0.0</v>
      </c>
      <c r="F166" s="55">
        <v>0.0</v>
      </c>
      <c r="G166" s="60">
        <v>18.09</v>
      </c>
      <c r="H166" s="39"/>
      <c r="I166" s="39"/>
      <c r="J166" s="39"/>
      <c r="K166" s="39"/>
      <c r="L166" s="39"/>
      <c r="M166" s="39"/>
      <c r="N166" s="39"/>
    </row>
    <row r="167">
      <c r="A167" s="59">
        <v>45674.0</v>
      </c>
      <c r="B167" s="55">
        <v>0.0</v>
      </c>
      <c r="C167" s="55">
        <v>199.6</v>
      </c>
      <c r="D167" s="55">
        <v>0.0</v>
      </c>
      <c r="E167" s="55">
        <v>0.0</v>
      </c>
      <c r="F167" s="55">
        <v>0.0</v>
      </c>
      <c r="G167" s="60">
        <v>38.2</v>
      </c>
      <c r="H167" s="39"/>
      <c r="I167" s="39"/>
      <c r="J167" s="39"/>
      <c r="K167" s="39"/>
      <c r="L167" s="39"/>
      <c r="M167" s="39"/>
      <c r="N167" s="39"/>
    </row>
    <row r="168">
      <c r="A168" s="59">
        <v>45677.0</v>
      </c>
      <c r="B168" s="55">
        <v>0.0</v>
      </c>
      <c r="C168" s="55">
        <v>167.28</v>
      </c>
      <c r="D168" s="55">
        <v>0.0</v>
      </c>
      <c r="E168" s="55">
        <v>0.0</v>
      </c>
      <c r="F168" s="55">
        <v>0.0</v>
      </c>
      <c r="G168" s="60">
        <v>33.18</v>
      </c>
      <c r="H168" s="39"/>
      <c r="I168" s="39"/>
      <c r="J168" s="39"/>
      <c r="K168" s="39"/>
      <c r="L168" s="39"/>
      <c r="M168" s="39"/>
      <c r="N168" s="39"/>
    </row>
    <row r="169">
      <c r="A169" s="59">
        <v>45679.0</v>
      </c>
      <c r="B169" s="55">
        <v>110.65</v>
      </c>
      <c r="C169" s="55">
        <v>237.74</v>
      </c>
      <c r="D169" s="55">
        <v>0.0</v>
      </c>
      <c r="E169" s="55">
        <v>0.0</v>
      </c>
      <c r="F169" s="55">
        <v>0.0</v>
      </c>
      <c r="G169" s="60">
        <v>41.19</v>
      </c>
      <c r="H169" s="39"/>
      <c r="I169" s="39"/>
      <c r="J169" s="39"/>
      <c r="K169" s="39"/>
      <c r="L169" s="39"/>
      <c r="M169" s="39"/>
      <c r="N169" s="39"/>
    </row>
    <row r="170">
      <c r="A170" s="59">
        <v>45681.0</v>
      </c>
      <c r="B170" s="55">
        <v>0.0</v>
      </c>
      <c r="C170" s="55">
        <v>132.59</v>
      </c>
      <c r="D170" s="55">
        <v>0.0</v>
      </c>
      <c r="E170" s="55">
        <v>0.0</v>
      </c>
      <c r="F170" s="55">
        <v>0.0</v>
      </c>
      <c r="G170" s="60">
        <v>21.0</v>
      </c>
      <c r="H170" s="39"/>
      <c r="I170" s="39"/>
      <c r="J170" s="39"/>
      <c r="K170" s="39"/>
      <c r="L170" s="39"/>
      <c r="M170" s="39"/>
      <c r="N170" s="39"/>
    </row>
    <row r="171">
      <c r="A171" s="59">
        <v>45684.0</v>
      </c>
      <c r="B171" s="55">
        <v>141.0</v>
      </c>
      <c r="C171" s="55">
        <v>155.5</v>
      </c>
      <c r="D171" s="55">
        <v>0.0</v>
      </c>
      <c r="E171" s="55">
        <v>0.0</v>
      </c>
      <c r="F171" s="55">
        <v>0.0</v>
      </c>
      <c r="G171" s="60">
        <v>20.18</v>
      </c>
      <c r="H171" s="39"/>
      <c r="I171" s="39"/>
      <c r="J171" s="39"/>
      <c r="K171" s="39"/>
      <c r="L171" s="39"/>
      <c r="M171" s="39"/>
      <c r="N171" s="39"/>
    </row>
    <row r="172">
      <c r="A172" s="59">
        <v>45686.0</v>
      </c>
      <c r="B172" s="55">
        <v>57.89</v>
      </c>
      <c r="C172" s="55">
        <v>266.29</v>
      </c>
      <c r="D172" s="55">
        <v>0.0</v>
      </c>
      <c r="E172" s="55">
        <v>0.0</v>
      </c>
      <c r="F172" s="55">
        <v>0.0</v>
      </c>
      <c r="G172" s="60">
        <v>31.1</v>
      </c>
      <c r="H172" s="39"/>
      <c r="I172" s="39"/>
      <c r="J172" s="39"/>
      <c r="K172" s="39"/>
      <c r="L172" s="39"/>
      <c r="M172" s="39"/>
      <c r="N172" s="39"/>
    </row>
    <row r="173">
      <c r="A173" s="59">
        <v>45687.0</v>
      </c>
      <c r="B173" s="55">
        <v>0.0</v>
      </c>
      <c r="C173" s="55">
        <v>97.35</v>
      </c>
      <c r="D173" s="55">
        <v>0.0</v>
      </c>
      <c r="E173" s="55">
        <v>0.0</v>
      </c>
      <c r="F173" s="55">
        <v>0.0</v>
      </c>
      <c r="G173" s="55">
        <v>0.0</v>
      </c>
      <c r="H173" s="39"/>
      <c r="I173" s="39"/>
      <c r="J173" s="39"/>
      <c r="K173" s="39"/>
      <c r="L173" s="39"/>
      <c r="M173" s="39"/>
      <c r="N173" s="39"/>
    </row>
    <row r="174">
      <c r="A174" s="59">
        <v>45691.0</v>
      </c>
      <c r="B174" s="55">
        <v>120.95</v>
      </c>
      <c r="C174" s="55">
        <v>234.23</v>
      </c>
      <c r="D174" s="55">
        <v>0.0</v>
      </c>
      <c r="E174" s="55">
        <v>0.0</v>
      </c>
      <c r="F174" s="55">
        <v>0.0</v>
      </c>
      <c r="G174" s="60">
        <v>66.5</v>
      </c>
      <c r="H174" s="39"/>
      <c r="I174" s="39"/>
      <c r="J174" s="39"/>
      <c r="K174" s="39"/>
      <c r="L174" s="39"/>
      <c r="M174" s="39"/>
      <c r="N174" s="39"/>
    </row>
    <row r="175">
      <c r="A175" s="59">
        <v>45695.0</v>
      </c>
      <c r="B175" s="55">
        <v>0.0</v>
      </c>
      <c r="C175" s="55">
        <v>368.35</v>
      </c>
      <c r="D175" s="55">
        <v>0.0</v>
      </c>
      <c r="E175" s="55">
        <v>0.0</v>
      </c>
      <c r="F175" s="55">
        <v>0.0</v>
      </c>
      <c r="G175" s="60">
        <v>20.3</v>
      </c>
      <c r="H175" s="39"/>
      <c r="I175" s="39"/>
      <c r="J175" s="39"/>
      <c r="K175" s="39"/>
      <c r="L175" s="39"/>
      <c r="M175" s="39"/>
      <c r="N175" s="39"/>
    </row>
    <row r="176">
      <c r="A176" s="59">
        <v>45698.0</v>
      </c>
      <c r="B176" s="55">
        <v>243.48</v>
      </c>
      <c r="C176" s="55">
        <v>151.0</v>
      </c>
      <c r="D176" s="55">
        <v>0.0</v>
      </c>
      <c r="E176" s="55">
        <v>0.0</v>
      </c>
      <c r="F176" s="55">
        <v>0.0</v>
      </c>
      <c r="G176" s="60">
        <v>65.8</v>
      </c>
      <c r="H176" s="39"/>
      <c r="I176" s="39"/>
      <c r="J176" s="39"/>
      <c r="K176" s="39"/>
      <c r="L176" s="39"/>
      <c r="M176" s="39"/>
      <c r="N176" s="39"/>
    </row>
    <row r="177">
      <c r="A177" s="59">
        <v>45705.0</v>
      </c>
      <c r="B177" s="55">
        <v>289.95</v>
      </c>
      <c r="C177" s="55">
        <v>282.1</v>
      </c>
      <c r="D177" s="55">
        <v>0.0</v>
      </c>
      <c r="E177" s="55">
        <v>0.0</v>
      </c>
      <c r="F177" s="55">
        <v>0.0</v>
      </c>
      <c r="G177" s="60">
        <v>37.3</v>
      </c>
      <c r="H177" s="39"/>
      <c r="I177" s="39"/>
      <c r="J177" s="39"/>
      <c r="K177" s="39"/>
      <c r="L177" s="39"/>
      <c r="M177" s="39"/>
      <c r="N177" s="39"/>
    </row>
    <row r="178">
      <c r="A178" s="59">
        <v>45707.0</v>
      </c>
      <c r="B178" s="55">
        <v>112.57</v>
      </c>
      <c r="C178" s="55">
        <v>176.59</v>
      </c>
      <c r="D178" s="55">
        <v>0.0</v>
      </c>
      <c r="E178" s="55">
        <v>0.0</v>
      </c>
      <c r="F178" s="55">
        <v>0.0</v>
      </c>
      <c r="G178" s="60">
        <v>14.0</v>
      </c>
      <c r="H178" s="39"/>
      <c r="I178" s="39"/>
      <c r="J178" s="39"/>
      <c r="K178" s="39"/>
      <c r="L178" s="39"/>
      <c r="M178" s="39"/>
      <c r="N178" s="39"/>
    </row>
    <row r="179">
      <c r="A179" s="59">
        <v>45712.0</v>
      </c>
      <c r="B179" s="55">
        <v>56.54</v>
      </c>
      <c r="C179" s="55">
        <v>116.58</v>
      </c>
      <c r="D179" s="55">
        <v>0.0</v>
      </c>
      <c r="E179" s="55">
        <v>0.0</v>
      </c>
      <c r="F179" s="55">
        <v>0.0</v>
      </c>
      <c r="G179" s="60">
        <v>75.6</v>
      </c>
      <c r="H179" s="39"/>
      <c r="I179" s="39"/>
      <c r="J179" s="39"/>
      <c r="K179" s="39"/>
      <c r="L179" s="39"/>
      <c r="M179" s="39"/>
      <c r="N179" s="39"/>
    </row>
    <row r="180">
      <c r="A180" s="59">
        <v>45714.0</v>
      </c>
      <c r="B180" s="55">
        <v>288.35</v>
      </c>
      <c r="C180" s="55">
        <v>30.16</v>
      </c>
      <c r="D180" s="55">
        <v>0.0</v>
      </c>
      <c r="E180" s="55">
        <v>0.0</v>
      </c>
      <c r="F180" s="55">
        <v>0.0</v>
      </c>
      <c r="G180" s="60">
        <v>0.0</v>
      </c>
      <c r="H180" s="39"/>
      <c r="I180" s="39"/>
      <c r="J180" s="39"/>
      <c r="K180" s="39"/>
      <c r="L180" s="39"/>
      <c r="M180" s="39"/>
      <c r="N180" s="39"/>
    </row>
    <row r="181">
      <c r="A181" s="59">
        <v>45722.0</v>
      </c>
      <c r="B181" s="55">
        <v>238.4</v>
      </c>
      <c r="C181" s="55">
        <v>402.35</v>
      </c>
      <c r="D181" s="55">
        <v>0.0</v>
      </c>
      <c r="E181" s="55">
        <v>0.0</v>
      </c>
      <c r="F181" s="55">
        <v>0.0</v>
      </c>
      <c r="G181" s="60">
        <v>79.2</v>
      </c>
      <c r="H181" s="39"/>
      <c r="I181" s="39"/>
      <c r="J181" s="39"/>
      <c r="K181" s="39"/>
      <c r="L181" s="39"/>
      <c r="M181" s="39"/>
      <c r="N181" s="39"/>
    </row>
    <row r="182">
      <c r="A182" s="59">
        <v>45728.0</v>
      </c>
      <c r="B182" s="55">
        <v>327.23</v>
      </c>
      <c r="C182" s="55">
        <v>0.0</v>
      </c>
      <c r="D182" s="55">
        <v>0.0</v>
      </c>
      <c r="E182" s="55">
        <v>0.0</v>
      </c>
      <c r="F182" s="55">
        <v>0.0</v>
      </c>
      <c r="G182" s="60">
        <v>0.0</v>
      </c>
      <c r="H182" s="39"/>
      <c r="I182" s="39"/>
      <c r="J182" s="39"/>
      <c r="K182" s="39"/>
      <c r="L182" s="39"/>
      <c r="M182" s="39"/>
      <c r="N182" s="39"/>
    </row>
    <row r="183">
      <c r="A183" s="59">
        <v>45735.0</v>
      </c>
      <c r="B183" s="55">
        <v>243.0</v>
      </c>
      <c r="C183" s="55">
        <v>0.0</v>
      </c>
      <c r="D183" s="55">
        <v>0.0</v>
      </c>
      <c r="E183" s="55">
        <v>0.0</v>
      </c>
      <c r="F183" s="55">
        <v>0.0</v>
      </c>
      <c r="G183" s="60">
        <v>89.0</v>
      </c>
      <c r="H183" s="39"/>
      <c r="I183" s="39"/>
      <c r="J183" s="39"/>
      <c r="K183" s="39"/>
      <c r="L183" s="39"/>
      <c r="M183" s="39"/>
      <c r="N183" s="39"/>
    </row>
    <row r="184">
      <c r="A184" s="59">
        <v>45743.0</v>
      </c>
      <c r="B184" s="55">
        <v>284.93</v>
      </c>
      <c r="C184" s="55">
        <v>0.0</v>
      </c>
      <c r="D184" s="55">
        <v>0.0</v>
      </c>
      <c r="E184" s="55">
        <v>0.0</v>
      </c>
      <c r="F184" s="55">
        <v>0.0</v>
      </c>
      <c r="G184" s="60">
        <v>180.08</v>
      </c>
      <c r="H184" s="39"/>
      <c r="I184" s="39"/>
      <c r="J184" s="39"/>
      <c r="K184" s="39"/>
      <c r="L184" s="39"/>
      <c r="M184" s="39"/>
      <c r="N184" s="39"/>
    </row>
    <row r="185">
      <c r="A185" s="59">
        <v>45754.0</v>
      </c>
      <c r="B185" s="55">
        <v>141.85</v>
      </c>
      <c r="C185" s="55">
        <v>0.0</v>
      </c>
      <c r="D185" s="55">
        <v>0.0</v>
      </c>
      <c r="E185" s="55">
        <v>0.0</v>
      </c>
      <c r="F185" s="55">
        <v>0.0</v>
      </c>
      <c r="G185" s="60">
        <v>192.42</v>
      </c>
      <c r="H185" s="39"/>
      <c r="I185" s="39"/>
      <c r="J185" s="39"/>
      <c r="K185" s="39"/>
      <c r="L185" s="39"/>
      <c r="M185" s="39"/>
      <c r="N185" s="39"/>
    </row>
    <row r="186">
      <c r="A186" s="59">
        <v>45758.0</v>
      </c>
      <c r="B186" s="55">
        <v>172.1</v>
      </c>
      <c r="C186" s="55">
        <v>0.0</v>
      </c>
      <c r="D186" s="55">
        <v>0.0</v>
      </c>
      <c r="E186" s="55">
        <v>0.0</v>
      </c>
      <c r="F186" s="55">
        <v>0.0</v>
      </c>
      <c r="G186" s="60">
        <v>0.0</v>
      </c>
      <c r="H186" s="39"/>
      <c r="I186" s="39"/>
      <c r="J186" s="39"/>
      <c r="K186" s="39"/>
      <c r="L186" s="39"/>
      <c r="M186" s="39"/>
      <c r="N186" s="39"/>
    </row>
    <row r="187">
      <c r="A187" s="59">
        <v>45769.0</v>
      </c>
      <c r="B187" s="55">
        <v>535.76</v>
      </c>
      <c r="C187" s="55">
        <v>0.0</v>
      </c>
      <c r="D187" s="55">
        <v>0.0</v>
      </c>
      <c r="E187" s="55">
        <v>0.0</v>
      </c>
      <c r="F187" s="55">
        <v>0.0</v>
      </c>
      <c r="G187" s="60">
        <v>110.1</v>
      </c>
      <c r="H187" s="39"/>
      <c r="I187" s="39"/>
      <c r="J187" s="39"/>
      <c r="K187" s="39"/>
      <c r="L187" s="39"/>
      <c r="M187" s="39"/>
      <c r="N187" s="39"/>
    </row>
    <row r="188">
      <c r="A188" s="59">
        <v>45772.0</v>
      </c>
      <c r="B188" s="55">
        <v>80.0</v>
      </c>
      <c r="C188" s="55">
        <v>0.0</v>
      </c>
      <c r="D188" s="55">
        <v>0.0</v>
      </c>
      <c r="E188" s="55">
        <v>0.0</v>
      </c>
      <c r="F188" s="55">
        <v>0.0</v>
      </c>
      <c r="G188" s="60">
        <v>0.0</v>
      </c>
      <c r="H188" s="39"/>
      <c r="I188" s="39"/>
      <c r="J188" s="39"/>
      <c r="K188" s="39"/>
      <c r="L188" s="39"/>
      <c r="M188" s="39"/>
      <c r="N188" s="39"/>
    </row>
    <row r="189">
      <c r="A189" s="59">
        <v>45782.0</v>
      </c>
      <c r="B189" s="55">
        <v>355.0</v>
      </c>
      <c r="C189" s="55">
        <v>0.0</v>
      </c>
      <c r="D189" s="55">
        <v>0.0</v>
      </c>
      <c r="E189" s="55">
        <v>0.0</v>
      </c>
      <c r="F189" s="55">
        <v>0.0</v>
      </c>
      <c r="G189" s="60">
        <v>0.0</v>
      </c>
      <c r="H189" s="39"/>
      <c r="I189" s="39"/>
      <c r="J189" s="39"/>
      <c r="K189" s="39"/>
      <c r="L189" s="39"/>
      <c r="M189" s="39"/>
      <c r="N189" s="39"/>
    </row>
    <row r="190">
      <c r="A190" s="59">
        <v>45786.0</v>
      </c>
      <c r="B190" s="55">
        <v>226.37</v>
      </c>
      <c r="C190" s="55">
        <v>0.0</v>
      </c>
      <c r="D190" s="55">
        <v>0.0</v>
      </c>
      <c r="E190" s="55">
        <v>0.0</v>
      </c>
      <c r="F190" s="55">
        <v>0.0</v>
      </c>
      <c r="G190" s="60">
        <v>88.65</v>
      </c>
      <c r="H190" s="39"/>
      <c r="I190" s="39"/>
      <c r="J190" s="39"/>
      <c r="K190" s="39"/>
      <c r="L190" s="39"/>
      <c r="M190" s="39"/>
      <c r="N190" s="39"/>
    </row>
    <row r="191">
      <c r="A191" s="59">
        <v>45789.0</v>
      </c>
      <c r="B191" s="55">
        <v>0.0</v>
      </c>
      <c r="C191" s="55">
        <v>0.0</v>
      </c>
      <c r="D191" s="55">
        <v>0.0</v>
      </c>
      <c r="E191" s="55">
        <v>0.0</v>
      </c>
      <c r="F191" s="55">
        <v>0.0</v>
      </c>
      <c r="G191" s="60">
        <v>36.2</v>
      </c>
      <c r="H191" s="39"/>
      <c r="I191" s="39"/>
      <c r="J191" s="39"/>
      <c r="K191" s="39"/>
      <c r="L191" s="39"/>
      <c r="M191" s="39"/>
      <c r="N191" s="39"/>
    </row>
    <row r="192">
      <c r="A192" s="41">
        <v>45793.0</v>
      </c>
      <c r="B192" s="55">
        <v>358.78</v>
      </c>
      <c r="C192" s="55">
        <v>0.0</v>
      </c>
      <c r="D192" s="55">
        <v>0.0</v>
      </c>
      <c r="E192" s="55">
        <v>0.0</v>
      </c>
      <c r="F192" s="55">
        <v>0.0</v>
      </c>
      <c r="G192" s="60">
        <v>0.0</v>
      </c>
      <c r="H192" s="39"/>
      <c r="I192" s="39"/>
      <c r="J192" s="39"/>
      <c r="K192" s="39"/>
      <c r="L192" s="39"/>
      <c r="M192" s="39"/>
      <c r="N192" s="39"/>
    </row>
    <row r="193">
      <c r="A193" s="41">
        <v>45797.0</v>
      </c>
      <c r="B193" s="55">
        <v>220.12</v>
      </c>
      <c r="C193" s="55">
        <v>0.0</v>
      </c>
      <c r="D193" s="55">
        <v>0.0</v>
      </c>
      <c r="E193" s="55">
        <v>0.0</v>
      </c>
      <c r="F193" s="55">
        <v>0.0</v>
      </c>
      <c r="G193" s="60">
        <v>0.0</v>
      </c>
      <c r="H193" s="39"/>
      <c r="I193" s="39"/>
      <c r="J193" s="39"/>
      <c r="K193" s="39"/>
      <c r="L193" s="39"/>
      <c r="M193" s="39"/>
      <c r="N193" s="39"/>
    </row>
    <row r="194">
      <c r="A194" s="41">
        <v>45800.0</v>
      </c>
      <c r="B194" s="55">
        <v>846.45</v>
      </c>
      <c r="C194" s="55">
        <v>0.0</v>
      </c>
      <c r="D194" s="55">
        <v>0.0</v>
      </c>
      <c r="E194" s="55">
        <v>0.0</v>
      </c>
      <c r="F194" s="55">
        <v>0.0</v>
      </c>
      <c r="G194" s="60">
        <v>0.0</v>
      </c>
      <c r="H194" s="39"/>
      <c r="I194" s="39"/>
      <c r="J194" s="39"/>
      <c r="K194" s="39"/>
      <c r="L194" s="39"/>
      <c r="M194" s="39"/>
      <c r="N194" s="39"/>
    </row>
    <row r="195">
      <c r="A195" s="41">
        <v>45804.0</v>
      </c>
      <c r="B195" s="55">
        <v>216.23</v>
      </c>
      <c r="C195" s="55">
        <v>0.0</v>
      </c>
      <c r="D195" s="55">
        <v>0.0</v>
      </c>
      <c r="E195" s="55">
        <v>0.0</v>
      </c>
      <c r="F195" s="55">
        <v>0.0</v>
      </c>
      <c r="G195" s="60">
        <v>0.0</v>
      </c>
      <c r="H195" s="39"/>
      <c r="I195" s="39"/>
      <c r="J195" s="39"/>
      <c r="K195" s="39"/>
      <c r="L195" s="39"/>
      <c r="M195" s="39"/>
      <c r="N195" s="39"/>
    </row>
    <row r="196">
      <c r="A196" s="41">
        <v>45807.0</v>
      </c>
      <c r="B196" s="55">
        <v>300.12</v>
      </c>
      <c r="C196" s="55">
        <v>0.0</v>
      </c>
      <c r="D196" s="55">
        <v>0.0</v>
      </c>
      <c r="E196" s="55">
        <v>0.0</v>
      </c>
      <c r="F196" s="55">
        <v>0.0</v>
      </c>
      <c r="G196" s="60">
        <v>0.0</v>
      </c>
      <c r="H196" s="39"/>
      <c r="I196" s="39"/>
      <c r="J196" s="39"/>
      <c r="K196" s="39"/>
      <c r="L196" s="39"/>
      <c r="M196" s="39"/>
      <c r="N196" s="39"/>
    </row>
    <row r="197">
      <c r="A197" s="41">
        <v>45808.0</v>
      </c>
      <c r="B197" s="55">
        <v>285.36</v>
      </c>
      <c r="C197" s="55">
        <v>0.0</v>
      </c>
      <c r="D197" s="55">
        <v>0.0</v>
      </c>
      <c r="E197" s="55">
        <v>0.0</v>
      </c>
      <c r="F197" s="55">
        <v>0.0</v>
      </c>
      <c r="G197" s="60">
        <v>0.0</v>
      </c>
      <c r="H197" s="39"/>
      <c r="I197" s="39"/>
      <c r="J197" s="39"/>
      <c r="K197" s="39"/>
      <c r="L197" s="39"/>
      <c r="M197" s="39"/>
      <c r="N197" s="39"/>
    </row>
    <row r="198">
      <c r="A198" s="41">
        <v>45811.0</v>
      </c>
      <c r="B198" s="55">
        <v>312.56</v>
      </c>
      <c r="C198" s="55">
        <v>0.0</v>
      </c>
      <c r="D198" s="55">
        <v>0.0</v>
      </c>
      <c r="E198" s="55">
        <v>0.0</v>
      </c>
      <c r="F198" s="55">
        <v>0.0</v>
      </c>
      <c r="G198" s="60">
        <v>0.0</v>
      </c>
      <c r="H198" s="39"/>
      <c r="I198" s="39"/>
      <c r="J198" s="39"/>
      <c r="K198" s="39"/>
      <c r="L198" s="39"/>
      <c r="M198" s="39"/>
      <c r="N198" s="39"/>
    </row>
    <row r="199">
      <c r="A199" s="41">
        <v>45819.0</v>
      </c>
      <c r="B199" s="55">
        <v>263.0</v>
      </c>
      <c r="C199" s="55">
        <v>0.0</v>
      </c>
      <c r="D199" s="55">
        <v>0.0</v>
      </c>
      <c r="E199" s="55">
        <v>0.0</v>
      </c>
      <c r="F199" s="55">
        <v>0.0</v>
      </c>
      <c r="G199" s="60">
        <v>26.85</v>
      </c>
      <c r="H199" s="39"/>
      <c r="I199" s="39"/>
      <c r="J199" s="39"/>
      <c r="K199" s="39"/>
      <c r="L199" s="39"/>
      <c r="M199" s="39"/>
      <c r="N199" s="39"/>
    </row>
    <row r="200">
      <c r="A200" s="41">
        <v>45826.0</v>
      </c>
      <c r="B200" s="55">
        <v>286.32</v>
      </c>
      <c r="C200" s="55">
        <v>0.0</v>
      </c>
      <c r="D200" s="55">
        <v>0.0</v>
      </c>
      <c r="E200" s="55">
        <v>0.0</v>
      </c>
      <c r="F200" s="55">
        <v>0.0</v>
      </c>
      <c r="G200" s="60">
        <v>98.02</v>
      </c>
      <c r="H200" s="39"/>
      <c r="I200" s="39"/>
      <c r="J200" s="39"/>
      <c r="K200" s="39"/>
      <c r="L200" s="39"/>
      <c r="M200" s="39"/>
      <c r="N200" s="39"/>
    </row>
    <row r="201">
      <c r="A201" s="41">
        <v>45831.0</v>
      </c>
      <c r="B201" s="55">
        <v>638.19</v>
      </c>
      <c r="C201" s="55">
        <v>0.0</v>
      </c>
      <c r="D201" s="55">
        <v>0.0</v>
      </c>
      <c r="E201" s="55">
        <v>0.0</v>
      </c>
      <c r="F201" s="55">
        <v>0.0</v>
      </c>
      <c r="G201" s="60">
        <v>0.0</v>
      </c>
      <c r="H201" s="39"/>
      <c r="I201" s="39"/>
      <c r="J201" s="39"/>
      <c r="K201" s="39"/>
      <c r="L201" s="39"/>
      <c r="M201" s="39"/>
      <c r="N201" s="39"/>
    </row>
    <row r="202">
      <c r="A202" s="41">
        <v>45834.0</v>
      </c>
      <c r="B202" s="55">
        <v>292.15</v>
      </c>
      <c r="C202" s="55">
        <v>0.0</v>
      </c>
      <c r="D202" s="55">
        <v>0.0</v>
      </c>
      <c r="E202" s="55">
        <v>0.0</v>
      </c>
      <c r="F202" s="55">
        <v>0.0</v>
      </c>
      <c r="G202" s="60">
        <v>0.0</v>
      </c>
      <c r="H202" s="37">
        <v>0.0</v>
      </c>
      <c r="I202" s="39"/>
      <c r="J202" s="39"/>
      <c r="K202" s="39"/>
      <c r="L202" s="39"/>
      <c r="M202" s="39"/>
      <c r="N202" s="39"/>
    </row>
    <row r="203">
      <c r="A203" s="41">
        <v>45838.0</v>
      </c>
      <c r="B203" s="55">
        <v>358.71</v>
      </c>
      <c r="C203" s="55">
        <v>0.0</v>
      </c>
      <c r="D203" s="55">
        <v>0.0</v>
      </c>
      <c r="E203" s="55">
        <v>0.0</v>
      </c>
      <c r="F203" s="55">
        <v>0.0</v>
      </c>
      <c r="G203" s="60">
        <v>0.0</v>
      </c>
      <c r="H203" s="37">
        <v>0.0</v>
      </c>
      <c r="I203" s="39"/>
      <c r="J203" s="39"/>
      <c r="K203" s="39"/>
      <c r="L203" s="39"/>
      <c r="M203" s="39"/>
      <c r="N203" s="39"/>
    </row>
    <row r="204">
      <c r="A204" s="41">
        <v>45841.0</v>
      </c>
      <c r="B204" s="55">
        <v>452.35</v>
      </c>
      <c r="C204" s="55">
        <v>16.45</v>
      </c>
      <c r="D204" s="55">
        <v>0.0</v>
      </c>
      <c r="E204" s="55">
        <v>0.0</v>
      </c>
      <c r="F204" s="55">
        <v>0.0</v>
      </c>
      <c r="G204" s="60">
        <v>0.0</v>
      </c>
      <c r="H204" s="37">
        <v>0.0</v>
      </c>
      <c r="I204" s="39"/>
      <c r="J204" s="39"/>
      <c r="K204" s="39"/>
      <c r="L204" s="39"/>
      <c r="M204" s="39"/>
      <c r="N204" s="39"/>
    </row>
    <row r="205">
      <c r="A205" s="41">
        <v>45847.0</v>
      </c>
      <c r="B205" s="55">
        <v>306.65</v>
      </c>
      <c r="C205" s="55">
        <v>128.07</v>
      </c>
      <c r="D205" s="55">
        <v>0.0</v>
      </c>
      <c r="E205" s="55">
        <v>0.0</v>
      </c>
      <c r="F205" s="55">
        <v>0.0</v>
      </c>
      <c r="G205" s="60">
        <v>0.0</v>
      </c>
      <c r="H205" s="37">
        <v>0.0</v>
      </c>
      <c r="I205" s="39"/>
      <c r="J205" s="39"/>
      <c r="K205" s="39"/>
      <c r="L205" s="39"/>
      <c r="M205" s="39"/>
      <c r="N205" s="39"/>
    </row>
    <row r="206">
      <c r="A206" s="41">
        <v>45849.0</v>
      </c>
      <c r="B206" s="55">
        <v>125.36</v>
      </c>
      <c r="C206" s="55">
        <v>102.32</v>
      </c>
      <c r="D206" s="55">
        <v>0.0</v>
      </c>
      <c r="E206" s="55">
        <v>0.0</v>
      </c>
      <c r="F206" s="55">
        <v>0.0</v>
      </c>
      <c r="G206" s="60">
        <v>133.9</v>
      </c>
      <c r="H206" s="37">
        <v>0.0</v>
      </c>
      <c r="I206" s="39"/>
      <c r="J206" s="39"/>
      <c r="K206" s="39"/>
      <c r="L206" s="39"/>
      <c r="M206" s="39"/>
      <c r="N206" s="39"/>
    </row>
    <row r="207">
      <c r="A207" s="41">
        <v>45853.0</v>
      </c>
      <c r="B207" s="55">
        <v>203.74</v>
      </c>
      <c r="C207" s="55">
        <v>90.0</v>
      </c>
      <c r="D207" s="55">
        <v>0.0</v>
      </c>
      <c r="E207" s="55">
        <v>0.0</v>
      </c>
      <c r="F207" s="55">
        <v>0.0</v>
      </c>
      <c r="G207" s="60">
        <v>0.0</v>
      </c>
      <c r="H207" s="37">
        <v>0.0</v>
      </c>
      <c r="I207" s="39"/>
      <c r="J207" s="39"/>
      <c r="K207" s="39"/>
      <c r="L207" s="39"/>
      <c r="M207" s="39"/>
      <c r="N207" s="39"/>
    </row>
    <row r="208">
      <c r="A208" s="41">
        <v>45856.0</v>
      </c>
      <c r="B208" s="55">
        <v>422.17</v>
      </c>
      <c r="C208" s="55">
        <v>129.67</v>
      </c>
      <c r="D208" s="55">
        <v>0.0</v>
      </c>
      <c r="E208" s="55">
        <v>0.0</v>
      </c>
      <c r="F208" s="55">
        <v>0.0</v>
      </c>
      <c r="G208" s="60">
        <v>0.0</v>
      </c>
      <c r="H208" s="37">
        <v>0.0</v>
      </c>
      <c r="I208" s="39"/>
      <c r="J208" s="39"/>
      <c r="K208" s="39"/>
      <c r="L208" s="39"/>
      <c r="M208" s="39"/>
      <c r="N208" s="39"/>
    </row>
    <row r="209">
      <c r="A209" s="41">
        <v>45859.0</v>
      </c>
      <c r="B209" s="55">
        <v>415.7</v>
      </c>
      <c r="C209" s="55">
        <v>155.63</v>
      </c>
      <c r="D209" s="55">
        <v>0.0</v>
      </c>
      <c r="E209" s="55">
        <v>0.0</v>
      </c>
      <c r="F209" s="55">
        <v>0.0</v>
      </c>
      <c r="G209" s="60">
        <v>0.0</v>
      </c>
      <c r="H209" s="37">
        <v>0.0</v>
      </c>
      <c r="I209" s="39"/>
      <c r="J209" s="39"/>
      <c r="K209" s="39"/>
      <c r="L209" s="39"/>
      <c r="M209" s="39"/>
      <c r="N209" s="39"/>
    </row>
    <row r="210">
      <c r="A210" s="41">
        <v>45867.0</v>
      </c>
      <c r="B210" s="55">
        <v>322.55</v>
      </c>
      <c r="C210" s="55">
        <v>0.0</v>
      </c>
      <c r="D210" s="55">
        <v>0.0</v>
      </c>
      <c r="E210" s="55">
        <v>0.0</v>
      </c>
      <c r="F210" s="55">
        <v>0.0</v>
      </c>
      <c r="G210" s="60">
        <v>0.0</v>
      </c>
      <c r="H210" s="37">
        <v>0.0</v>
      </c>
      <c r="I210" s="39"/>
      <c r="J210" s="39"/>
      <c r="K210" s="39"/>
      <c r="L210" s="39"/>
      <c r="M210" s="39"/>
      <c r="N210" s="39"/>
    </row>
    <row r="211">
      <c r="A211" s="41">
        <v>45870.0</v>
      </c>
      <c r="B211" s="55">
        <v>0.0</v>
      </c>
      <c r="C211" s="55">
        <v>310.26</v>
      </c>
      <c r="D211" s="55">
        <v>0.0</v>
      </c>
      <c r="E211" s="55">
        <v>0.0</v>
      </c>
      <c r="F211" s="55">
        <v>0.0</v>
      </c>
      <c r="G211" s="60">
        <v>0.0</v>
      </c>
      <c r="H211" s="37">
        <v>0.0</v>
      </c>
      <c r="I211" s="39"/>
      <c r="J211" s="39"/>
      <c r="K211" s="39"/>
      <c r="L211" s="39"/>
      <c r="M211" s="39"/>
      <c r="N211" s="39"/>
    </row>
    <row r="212">
      <c r="A212" s="41">
        <v>45873.0</v>
      </c>
      <c r="B212" s="55">
        <v>370.18</v>
      </c>
      <c r="C212" s="55">
        <v>0.0</v>
      </c>
      <c r="D212" s="55">
        <v>0.0</v>
      </c>
      <c r="E212" s="55">
        <v>0.0</v>
      </c>
      <c r="F212" s="55">
        <v>0.0</v>
      </c>
      <c r="G212" s="60">
        <v>45.43</v>
      </c>
      <c r="H212" s="37">
        <v>0.0</v>
      </c>
      <c r="I212" s="39"/>
      <c r="J212" s="39"/>
      <c r="K212" s="39"/>
      <c r="L212" s="39"/>
      <c r="M212" s="39"/>
      <c r="N212" s="39"/>
    </row>
    <row r="213">
      <c r="A213" s="41">
        <v>45881.0</v>
      </c>
      <c r="B213" s="55">
        <v>390.22</v>
      </c>
      <c r="C213" s="55">
        <v>0.0</v>
      </c>
      <c r="D213" s="55">
        <v>0.0</v>
      </c>
      <c r="E213" s="55">
        <v>0.0</v>
      </c>
      <c r="F213" s="55">
        <v>0.0</v>
      </c>
      <c r="G213" s="60">
        <v>0.0</v>
      </c>
      <c r="H213" s="37">
        <v>0.0</v>
      </c>
      <c r="I213" s="39"/>
      <c r="J213" s="39"/>
      <c r="K213" s="39"/>
      <c r="L213" s="39"/>
      <c r="M213" s="39"/>
      <c r="N213" s="39"/>
    </row>
    <row r="214">
      <c r="A214" s="41">
        <v>45884.0</v>
      </c>
      <c r="B214" s="55">
        <v>370.33</v>
      </c>
      <c r="C214" s="55">
        <v>350.23</v>
      </c>
      <c r="D214" s="55">
        <v>0.0</v>
      </c>
      <c r="E214" s="55">
        <v>0.0</v>
      </c>
      <c r="F214" s="55">
        <v>0.0</v>
      </c>
      <c r="G214" s="60">
        <v>73.2</v>
      </c>
      <c r="H214" s="37">
        <v>0.0</v>
      </c>
      <c r="I214" s="39"/>
      <c r="J214" s="39"/>
      <c r="K214" s="39"/>
      <c r="L214" s="39"/>
      <c r="M214" s="39"/>
      <c r="N214" s="39"/>
    </row>
    <row r="215">
      <c r="A215" s="41">
        <v>45888.0</v>
      </c>
      <c r="B215" s="55">
        <v>286.43</v>
      </c>
      <c r="C215" s="55">
        <v>78.03</v>
      </c>
      <c r="D215" s="55">
        <v>0.0</v>
      </c>
      <c r="E215" s="55">
        <v>0.0</v>
      </c>
      <c r="F215" s="55">
        <v>0.0</v>
      </c>
      <c r="G215" s="60">
        <v>31.25</v>
      </c>
      <c r="H215" s="37">
        <v>0.0</v>
      </c>
      <c r="I215" s="39"/>
      <c r="J215" s="39"/>
      <c r="K215" s="39"/>
      <c r="L215" s="39"/>
      <c r="M215" s="39"/>
      <c r="N215" s="39"/>
    </row>
    <row r="216">
      <c r="A216" s="41">
        <v>45891.0</v>
      </c>
      <c r="B216" s="55">
        <v>122.78</v>
      </c>
      <c r="C216" s="55">
        <v>172.7</v>
      </c>
      <c r="D216" s="55">
        <v>0.0</v>
      </c>
      <c r="E216" s="55">
        <v>0.0</v>
      </c>
      <c r="F216" s="55">
        <v>0.0</v>
      </c>
      <c r="G216" s="60">
        <v>8.9</v>
      </c>
      <c r="H216" s="37">
        <v>24.73</v>
      </c>
      <c r="I216" s="39"/>
      <c r="J216" s="39"/>
      <c r="K216" s="39"/>
      <c r="L216" s="39"/>
      <c r="M216" s="39"/>
      <c r="N216" s="39"/>
    </row>
    <row r="217">
      <c r="A217" s="41">
        <v>45895.0</v>
      </c>
      <c r="B217" s="55">
        <v>235.1</v>
      </c>
      <c r="C217" s="55">
        <v>80.0</v>
      </c>
      <c r="D217" s="55">
        <v>0.0</v>
      </c>
      <c r="E217" s="55">
        <v>0.0</v>
      </c>
      <c r="F217" s="55">
        <v>0.0</v>
      </c>
      <c r="G217" s="60">
        <v>0.0</v>
      </c>
      <c r="H217" s="37">
        <v>49.5</v>
      </c>
      <c r="I217" s="39"/>
      <c r="J217" s="39"/>
      <c r="K217" s="39"/>
      <c r="L217" s="39"/>
      <c r="M217" s="39"/>
      <c r="N217" s="39"/>
    </row>
    <row r="218">
      <c r="A218" s="41">
        <v>45898.0</v>
      </c>
      <c r="B218" s="55">
        <v>160.3</v>
      </c>
      <c r="C218" s="55">
        <v>0.0</v>
      </c>
      <c r="D218" s="55">
        <v>0.0</v>
      </c>
      <c r="E218" s="55">
        <v>0.0</v>
      </c>
      <c r="F218" s="55">
        <v>0.0</v>
      </c>
      <c r="G218" s="60">
        <v>0.0</v>
      </c>
      <c r="H218" s="37">
        <v>0.0</v>
      </c>
      <c r="I218" s="39"/>
      <c r="J218" s="39"/>
      <c r="K218" s="39"/>
      <c r="L218" s="39"/>
      <c r="M218" s="39"/>
      <c r="N218" s="39"/>
    </row>
    <row r="219">
      <c r="A219" s="41">
        <v>45901.0</v>
      </c>
      <c r="B219" s="55">
        <v>104.56</v>
      </c>
      <c r="C219" s="55">
        <v>0.0</v>
      </c>
      <c r="D219" s="55">
        <v>0.0</v>
      </c>
      <c r="E219" s="55">
        <v>0.0</v>
      </c>
      <c r="F219" s="55">
        <v>0.0</v>
      </c>
      <c r="G219" s="60">
        <v>110.56</v>
      </c>
      <c r="H219" s="37">
        <v>0.0</v>
      </c>
      <c r="I219" s="39"/>
      <c r="J219" s="39"/>
      <c r="K219" s="39"/>
      <c r="L219" s="39"/>
      <c r="M219" s="39"/>
      <c r="N219" s="39"/>
    </row>
    <row r="220">
      <c r="A220" s="41">
        <v>45903.0</v>
      </c>
      <c r="B220" s="55">
        <v>150.6</v>
      </c>
      <c r="C220" s="55">
        <v>0.0</v>
      </c>
      <c r="D220" s="55">
        <v>0.0</v>
      </c>
      <c r="E220" s="55">
        <v>0.0</v>
      </c>
      <c r="F220" s="55">
        <v>0.0</v>
      </c>
      <c r="G220" s="60">
        <v>0.0</v>
      </c>
      <c r="H220" s="37">
        <v>52.3</v>
      </c>
      <c r="I220" s="39"/>
      <c r="J220" s="39"/>
      <c r="K220" s="39"/>
      <c r="L220" s="39"/>
      <c r="M220" s="39"/>
      <c r="N220" s="39"/>
    </row>
    <row r="221">
      <c r="A221" s="41">
        <v>45909.0</v>
      </c>
      <c r="B221" s="55">
        <v>303.2</v>
      </c>
      <c r="C221" s="55">
        <v>0.0</v>
      </c>
      <c r="D221" s="55">
        <v>0.0</v>
      </c>
      <c r="E221" s="55">
        <v>0.0</v>
      </c>
      <c r="F221" s="55">
        <v>0.0</v>
      </c>
      <c r="G221" s="60">
        <v>0.0</v>
      </c>
      <c r="H221" s="37">
        <v>28.3</v>
      </c>
      <c r="I221" s="39"/>
      <c r="J221" s="39"/>
      <c r="K221" s="39"/>
      <c r="L221" s="39"/>
      <c r="M221" s="39"/>
      <c r="N221" s="39"/>
    </row>
    <row r="222">
      <c r="A222" s="41">
        <v>45912.0</v>
      </c>
      <c r="B222" s="55">
        <v>156.3</v>
      </c>
      <c r="C222" s="55">
        <v>0.0</v>
      </c>
      <c r="D222" s="55">
        <v>0.0</v>
      </c>
      <c r="E222" s="55">
        <v>0.0</v>
      </c>
      <c r="F222" s="55">
        <v>0.0</v>
      </c>
      <c r="G222" s="60">
        <v>0.0</v>
      </c>
      <c r="H222" s="37">
        <v>32.2</v>
      </c>
      <c r="I222" s="39"/>
      <c r="J222" s="39"/>
      <c r="K222" s="39"/>
      <c r="L222" s="39"/>
      <c r="M222" s="39"/>
      <c r="N222" s="39"/>
    </row>
    <row r="223">
      <c r="A223" s="41">
        <v>45916.0</v>
      </c>
      <c r="B223" s="55">
        <v>465.3</v>
      </c>
      <c r="C223" s="55">
        <v>0.0</v>
      </c>
      <c r="D223" s="55">
        <v>0.0</v>
      </c>
      <c r="E223" s="55">
        <v>0.0</v>
      </c>
      <c r="F223" s="55">
        <v>0.0</v>
      </c>
      <c r="G223" s="60">
        <v>0.0</v>
      </c>
      <c r="H223" s="37">
        <v>0.0</v>
      </c>
      <c r="I223" s="39"/>
      <c r="J223" s="39"/>
      <c r="K223" s="39"/>
      <c r="L223" s="39"/>
      <c r="M223" s="39"/>
      <c r="N223" s="39"/>
    </row>
    <row r="224">
      <c r="A224" s="41">
        <v>45919.0</v>
      </c>
      <c r="B224" s="55">
        <v>200.0</v>
      </c>
      <c r="C224" s="55">
        <v>204.61</v>
      </c>
      <c r="D224" s="55">
        <v>0.0</v>
      </c>
      <c r="E224" s="55">
        <v>0.0</v>
      </c>
      <c r="F224" s="55">
        <v>0.0</v>
      </c>
      <c r="G224" s="60">
        <v>0.0</v>
      </c>
      <c r="H224" s="37">
        <v>0.0</v>
      </c>
      <c r="I224" s="39"/>
      <c r="J224" s="39"/>
      <c r="K224" s="39"/>
      <c r="L224" s="39"/>
      <c r="M224" s="39"/>
      <c r="N224" s="39"/>
    </row>
    <row r="225">
      <c r="A225" s="41">
        <v>45922.0</v>
      </c>
      <c r="B225" s="55">
        <v>220.0</v>
      </c>
      <c r="C225" s="55">
        <v>0.0</v>
      </c>
      <c r="D225" s="55">
        <v>0.0</v>
      </c>
      <c r="E225" s="55">
        <v>0.0</v>
      </c>
      <c r="F225" s="55">
        <v>0.0</v>
      </c>
      <c r="G225" s="60">
        <v>0.0</v>
      </c>
      <c r="H225" s="37">
        <v>68.3</v>
      </c>
      <c r="I225" s="39"/>
      <c r="J225" s="39"/>
      <c r="K225" s="39"/>
      <c r="L225" s="39"/>
      <c r="M225" s="39"/>
      <c r="N225" s="39"/>
    </row>
    <row r="226">
      <c r="A226" s="41">
        <v>45926.0</v>
      </c>
      <c r="B226" s="55">
        <v>0.0</v>
      </c>
      <c r="C226" s="55">
        <v>380.0</v>
      </c>
      <c r="D226" s="55">
        <v>0.0</v>
      </c>
      <c r="E226" s="55">
        <v>0.0</v>
      </c>
      <c r="F226" s="55">
        <v>0.0</v>
      </c>
      <c r="G226" s="60">
        <v>0.0</v>
      </c>
      <c r="H226" s="37">
        <v>0.0</v>
      </c>
      <c r="I226" s="39"/>
      <c r="J226" s="39"/>
      <c r="K226" s="39"/>
      <c r="L226" s="39"/>
      <c r="M226" s="39"/>
      <c r="N226" s="39"/>
    </row>
    <row r="227">
      <c r="A227" s="41">
        <v>45930.0</v>
      </c>
      <c r="B227" s="55">
        <v>283.4</v>
      </c>
      <c r="C227" s="55">
        <v>426.3</v>
      </c>
      <c r="D227" s="55">
        <v>0.0</v>
      </c>
      <c r="E227" s="55">
        <v>0.0</v>
      </c>
      <c r="F227" s="55">
        <v>0.0</v>
      </c>
      <c r="G227" s="60">
        <v>102.33</v>
      </c>
      <c r="H227" s="37">
        <v>0.0</v>
      </c>
      <c r="I227" s="39"/>
      <c r="J227" s="39"/>
      <c r="K227" s="39"/>
      <c r="L227" s="39"/>
      <c r="M227" s="39"/>
      <c r="N227" s="39"/>
    </row>
    <row r="228">
      <c r="A228" s="41">
        <v>45933.0</v>
      </c>
      <c r="B228" s="55">
        <v>461.8</v>
      </c>
      <c r="C228" s="55">
        <v>0.0</v>
      </c>
      <c r="D228" s="55">
        <v>0.0</v>
      </c>
      <c r="E228" s="55">
        <v>0.0</v>
      </c>
      <c r="F228" s="55">
        <v>0.0</v>
      </c>
      <c r="G228" s="60">
        <v>0.0</v>
      </c>
      <c r="H228" s="37">
        <v>115.46</v>
      </c>
      <c r="I228" s="39"/>
      <c r="J228" s="39"/>
      <c r="K228" s="39"/>
      <c r="L228" s="39"/>
      <c r="M228" s="39"/>
      <c r="N228" s="39"/>
    </row>
    <row r="229">
      <c r="A229" s="41">
        <v>45936.0</v>
      </c>
      <c r="B229" s="55">
        <v>343.55</v>
      </c>
      <c r="C229" s="55">
        <v>298.32</v>
      </c>
      <c r="D229" s="55">
        <v>0.0</v>
      </c>
      <c r="E229" s="55">
        <v>0.0</v>
      </c>
      <c r="F229" s="55">
        <v>0.0</v>
      </c>
      <c r="G229" s="60">
        <v>65.72</v>
      </c>
      <c r="H229" s="37">
        <v>120.56</v>
      </c>
      <c r="I229" s="39"/>
      <c r="J229" s="39"/>
      <c r="K229" s="39"/>
      <c r="L229" s="39"/>
      <c r="M229" s="39"/>
      <c r="N229" s="39"/>
    </row>
    <row r="230">
      <c r="A230" s="41">
        <v>45940.0</v>
      </c>
      <c r="B230" s="55">
        <v>350.06</v>
      </c>
      <c r="C230" s="55">
        <v>0.0</v>
      </c>
      <c r="D230" s="55">
        <v>0.0</v>
      </c>
      <c r="E230" s="55">
        <v>0.0</v>
      </c>
      <c r="F230" s="55">
        <v>0.0</v>
      </c>
      <c r="G230" s="60">
        <v>98.89</v>
      </c>
      <c r="H230" s="37">
        <v>0.0</v>
      </c>
      <c r="I230" s="39"/>
      <c r="J230" s="39"/>
      <c r="K230" s="39"/>
      <c r="L230" s="39"/>
      <c r="M230" s="39"/>
      <c r="N230" s="39"/>
    </row>
    <row r="231">
      <c r="A231" s="41">
        <v>45950.0</v>
      </c>
      <c r="B231" s="55">
        <v>598.0</v>
      </c>
      <c r="C231" s="55">
        <v>254.66</v>
      </c>
      <c r="D231" s="55">
        <v>0.0</v>
      </c>
      <c r="E231" s="55">
        <v>0.0</v>
      </c>
      <c r="F231" s="55">
        <v>0.0</v>
      </c>
      <c r="G231" s="60">
        <v>0.0</v>
      </c>
      <c r="H231" s="37">
        <v>0.0</v>
      </c>
      <c r="I231" s="39"/>
      <c r="J231" s="39"/>
      <c r="K231" s="39"/>
      <c r="L231" s="39"/>
      <c r="M231" s="39"/>
      <c r="N231" s="39"/>
    </row>
    <row r="232">
      <c r="A232" s="41">
        <v>45952.0</v>
      </c>
      <c r="B232" s="55">
        <v>181.85</v>
      </c>
      <c r="C232" s="55">
        <v>0.0</v>
      </c>
      <c r="D232" s="55">
        <v>0.0</v>
      </c>
      <c r="E232" s="55">
        <v>0.0</v>
      </c>
      <c r="F232" s="55">
        <v>0.0</v>
      </c>
      <c r="G232" s="60">
        <v>0.0</v>
      </c>
      <c r="H232" s="37">
        <v>62.35</v>
      </c>
      <c r="I232" s="39"/>
      <c r="J232" s="39"/>
      <c r="K232" s="39"/>
      <c r="L232" s="39"/>
      <c r="M232" s="39"/>
      <c r="N232" s="39"/>
    </row>
    <row r="233">
      <c r="A233" s="41">
        <v>45954.0</v>
      </c>
      <c r="B233" s="55">
        <v>100.35</v>
      </c>
      <c r="C233" s="55">
        <v>0.0</v>
      </c>
      <c r="D233" s="55">
        <v>0.0</v>
      </c>
      <c r="E233" s="55">
        <v>0.0</v>
      </c>
      <c r="F233" s="55">
        <v>0.0</v>
      </c>
      <c r="G233" s="60">
        <v>0.0</v>
      </c>
      <c r="H233" s="37">
        <v>0.0</v>
      </c>
      <c r="I233" s="39"/>
      <c r="J233" s="39"/>
      <c r="K233" s="39"/>
      <c r="L233" s="39"/>
      <c r="M233" s="39"/>
      <c r="N233" s="39"/>
    </row>
    <row r="234">
      <c r="A234" s="41">
        <v>45964.0</v>
      </c>
      <c r="B234" s="55">
        <v>465.26</v>
      </c>
      <c r="C234" s="55">
        <v>300.26</v>
      </c>
      <c r="D234" s="55">
        <v>0.0</v>
      </c>
      <c r="E234" s="55">
        <v>0.0</v>
      </c>
      <c r="F234" s="55">
        <v>0.0</v>
      </c>
      <c r="G234" s="60">
        <v>80.2</v>
      </c>
      <c r="H234" s="37">
        <v>50.87</v>
      </c>
      <c r="I234" s="39"/>
      <c r="J234" s="39"/>
      <c r="K234" s="39"/>
      <c r="L234" s="39"/>
      <c r="M234" s="39"/>
      <c r="N234" s="39"/>
    </row>
    <row r="235">
      <c r="A235" s="41">
        <v>45968.0</v>
      </c>
      <c r="B235" s="55">
        <v>353.75</v>
      </c>
      <c r="C235" s="55">
        <v>0.0</v>
      </c>
      <c r="D235" s="55">
        <v>0.0</v>
      </c>
      <c r="E235" s="55">
        <v>0.0</v>
      </c>
      <c r="F235" s="55">
        <v>0.0</v>
      </c>
      <c r="G235" s="60">
        <v>33.17</v>
      </c>
      <c r="H235" s="37">
        <v>45.3</v>
      </c>
      <c r="I235" s="39"/>
      <c r="J235" s="39"/>
      <c r="K235" s="39"/>
      <c r="L235" s="39"/>
      <c r="M235" s="39"/>
      <c r="N235" s="39"/>
    </row>
    <row r="236">
      <c r="A236" s="41">
        <v>45973.0</v>
      </c>
      <c r="B236" s="55">
        <v>300.69</v>
      </c>
      <c r="C236" s="55">
        <v>370.55</v>
      </c>
      <c r="D236" s="55">
        <v>0.0</v>
      </c>
      <c r="E236" s="55">
        <v>0.0</v>
      </c>
      <c r="F236" s="55">
        <v>0.0</v>
      </c>
      <c r="G236" s="60">
        <v>0.0</v>
      </c>
      <c r="H236" s="37">
        <v>78.91</v>
      </c>
      <c r="I236" s="39"/>
      <c r="J236" s="39"/>
      <c r="K236" s="39"/>
      <c r="L236" s="39"/>
      <c r="M236" s="39"/>
      <c r="N236" s="39"/>
    </row>
    <row r="237">
      <c r="A237" s="41">
        <v>45975.0</v>
      </c>
      <c r="B237" s="55">
        <v>301.01</v>
      </c>
      <c r="C237" s="55">
        <v>300.28</v>
      </c>
      <c r="D237" s="55">
        <v>0.0</v>
      </c>
      <c r="E237" s="55">
        <v>0.0</v>
      </c>
      <c r="F237" s="55">
        <v>0.0</v>
      </c>
      <c r="G237" s="60">
        <v>0.0</v>
      </c>
      <c r="H237" s="37">
        <v>0.0</v>
      </c>
      <c r="I237" s="39"/>
      <c r="J237" s="39"/>
      <c r="K237" s="39"/>
      <c r="L237" s="39"/>
      <c r="M237" s="39"/>
      <c r="N237" s="39"/>
    </row>
    <row r="238">
      <c r="A238" s="41">
        <v>45978.0</v>
      </c>
      <c r="B238" s="55">
        <v>427.3</v>
      </c>
      <c r="C238" s="55">
        <v>0.0</v>
      </c>
      <c r="D238" s="55">
        <v>0.0</v>
      </c>
      <c r="E238" s="55">
        <v>0.0</v>
      </c>
      <c r="F238" s="55">
        <v>0.0</v>
      </c>
      <c r="G238" s="60">
        <v>0.0</v>
      </c>
      <c r="H238" s="37">
        <v>0.0</v>
      </c>
      <c r="I238" s="39"/>
      <c r="J238" s="39"/>
      <c r="K238" s="39"/>
      <c r="L238" s="39"/>
      <c r="M238" s="39"/>
      <c r="N238" s="39"/>
    </row>
    <row r="239">
      <c r="A239" s="41">
        <v>45995.0</v>
      </c>
      <c r="B239" s="55">
        <v>710.56</v>
      </c>
      <c r="C239" s="55">
        <v>269.0</v>
      </c>
      <c r="D239" s="55">
        <v>0.0</v>
      </c>
      <c r="E239" s="55">
        <v>0.0</v>
      </c>
      <c r="F239" s="55">
        <v>0.0</v>
      </c>
      <c r="G239" s="60">
        <v>0.0</v>
      </c>
      <c r="H239" s="37">
        <v>0.0</v>
      </c>
      <c r="I239" s="39"/>
      <c r="J239" s="39"/>
      <c r="K239" s="39"/>
      <c r="L239" s="39"/>
      <c r="M239" s="39"/>
      <c r="N239" s="39"/>
    </row>
    <row r="240">
      <c r="A240" s="41">
        <v>46000.0</v>
      </c>
      <c r="B240" s="55">
        <v>325.0</v>
      </c>
      <c r="C240" s="55">
        <v>300.0</v>
      </c>
      <c r="D240" s="55">
        <v>0.0</v>
      </c>
      <c r="E240" s="55">
        <v>0.0</v>
      </c>
      <c r="F240" s="55">
        <v>0.0</v>
      </c>
      <c r="G240" s="60">
        <v>0.0</v>
      </c>
      <c r="H240" s="37">
        <v>0.0</v>
      </c>
      <c r="I240" s="39"/>
      <c r="J240" s="39"/>
      <c r="K240" s="39"/>
      <c r="L240" s="39"/>
      <c r="M240" s="39"/>
      <c r="N240" s="39"/>
    </row>
    <row r="241">
      <c r="A241" s="41">
        <v>46003.0</v>
      </c>
      <c r="B241" s="55">
        <v>298.0</v>
      </c>
      <c r="C241" s="55">
        <v>277.88</v>
      </c>
      <c r="D241" s="55">
        <v>0.0</v>
      </c>
      <c r="E241" s="55">
        <v>0.0</v>
      </c>
      <c r="F241" s="55">
        <v>0.0</v>
      </c>
      <c r="G241" s="60">
        <v>0.0</v>
      </c>
      <c r="H241" s="37">
        <v>31.0</v>
      </c>
      <c r="I241" s="39"/>
      <c r="J241" s="39"/>
      <c r="K241" s="39"/>
      <c r="L241" s="39"/>
      <c r="M241" s="39"/>
      <c r="N241" s="39"/>
    </row>
    <row r="242">
      <c r="A242" s="41">
        <v>46006.0</v>
      </c>
      <c r="B242" s="55">
        <v>269.33</v>
      </c>
      <c r="C242" s="55">
        <v>150.0</v>
      </c>
      <c r="D242" s="55">
        <v>0.0</v>
      </c>
      <c r="E242" s="55">
        <v>0.0</v>
      </c>
      <c r="F242" s="55">
        <v>0.0</v>
      </c>
      <c r="G242" s="60">
        <v>40.0</v>
      </c>
      <c r="H242" s="37">
        <v>0.0</v>
      </c>
      <c r="I242" s="39"/>
      <c r="J242" s="39"/>
      <c r="K242" s="39"/>
      <c r="L242" s="39"/>
      <c r="M242" s="39"/>
      <c r="N242" s="39"/>
    </row>
    <row r="243">
      <c r="A243" s="41">
        <v>46009.0</v>
      </c>
      <c r="B243" s="55">
        <v>286.12</v>
      </c>
      <c r="C243" s="55">
        <v>153.0</v>
      </c>
      <c r="D243" s="55">
        <v>0.0</v>
      </c>
      <c r="E243" s="55">
        <v>0.0</v>
      </c>
      <c r="F243" s="55">
        <v>0.0</v>
      </c>
      <c r="G243" s="60">
        <v>0.0</v>
      </c>
      <c r="H243" s="37">
        <v>39.68</v>
      </c>
      <c r="I243" s="39"/>
      <c r="J243" s="39"/>
      <c r="K243" s="39"/>
      <c r="L243" s="39"/>
      <c r="M243" s="39"/>
      <c r="N243" s="39"/>
    </row>
    <row r="244">
      <c r="A244" s="41">
        <v>46014.0</v>
      </c>
      <c r="B244" s="55">
        <v>283.97</v>
      </c>
      <c r="C244" s="55">
        <v>0.0</v>
      </c>
      <c r="D244" s="55">
        <v>0.0</v>
      </c>
      <c r="E244" s="55">
        <v>0.0</v>
      </c>
      <c r="F244" s="55">
        <v>0.0</v>
      </c>
      <c r="G244" s="60">
        <v>22.23</v>
      </c>
      <c r="H244" s="37">
        <v>82.0</v>
      </c>
      <c r="I244" s="39"/>
      <c r="J244" s="39"/>
      <c r="K244" s="39"/>
      <c r="L244" s="39"/>
      <c r="M244" s="39"/>
      <c r="N244" s="39"/>
    </row>
    <row r="245">
      <c r="A245" s="41">
        <v>46021.0</v>
      </c>
      <c r="B245" s="55">
        <v>0.0</v>
      </c>
      <c r="C245" s="55">
        <v>0.0</v>
      </c>
      <c r="D245" s="55">
        <v>0.0</v>
      </c>
      <c r="E245" s="55">
        <v>0.0</v>
      </c>
      <c r="F245" s="55">
        <v>0.0</v>
      </c>
      <c r="G245" s="60">
        <v>0.0</v>
      </c>
      <c r="H245" s="37">
        <v>52.69</v>
      </c>
      <c r="I245" s="39"/>
      <c r="J245" s="39"/>
      <c r="K245" s="39"/>
      <c r="L245" s="39"/>
      <c r="M245" s="39"/>
      <c r="N245" s="39"/>
    </row>
    <row r="246">
      <c r="A246" s="41">
        <v>46028.0</v>
      </c>
      <c r="B246" s="55">
        <v>329.32</v>
      </c>
      <c r="C246" s="55">
        <v>0.0</v>
      </c>
      <c r="D246" s="55">
        <v>0.0</v>
      </c>
      <c r="E246" s="55">
        <v>0.0</v>
      </c>
      <c r="F246" s="55">
        <v>0.0</v>
      </c>
      <c r="G246" s="60">
        <v>0.0</v>
      </c>
      <c r="H246" s="37">
        <v>227.65</v>
      </c>
      <c r="I246" s="39"/>
      <c r="J246" s="39"/>
      <c r="K246" s="39"/>
      <c r="L246" s="39"/>
      <c r="M246" s="39"/>
      <c r="N246" s="39"/>
    </row>
    <row r="247">
      <c r="A247" s="41">
        <v>46031.0</v>
      </c>
      <c r="B247" s="55">
        <v>112.35</v>
      </c>
      <c r="C247" s="55">
        <v>0.0</v>
      </c>
      <c r="D247" s="55">
        <v>0.0</v>
      </c>
      <c r="E247" s="55">
        <v>0.0</v>
      </c>
      <c r="F247" s="55">
        <v>0.0</v>
      </c>
      <c r="G247" s="60">
        <v>0.0</v>
      </c>
      <c r="H247" s="37">
        <v>87.35</v>
      </c>
      <c r="I247" s="39"/>
      <c r="J247" s="39"/>
      <c r="K247" s="39"/>
      <c r="L247" s="39"/>
      <c r="M247" s="39"/>
      <c r="N247" s="39"/>
    </row>
    <row r="248">
      <c r="A248" s="41">
        <v>46037.0</v>
      </c>
      <c r="B248" s="55">
        <v>0.0</v>
      </c>
      <c r="C248" s="55">
        <v>0.0</v>
      </c>
      <c r="D248" s="55">
        <v>0.0</v>
      </c>
      <c r="E248" s="55">
        <v>0.0</v>
      </c>
      <c r="F248" s="55">
        <v>0.0</v>
      </c>
      <c r="G248" s="60">
        <v>0.0</v>
      </c>
      <c r="H248" s="40">
        <v>0.0</v>
      </c>
      <c r="I248" s="37">
        <v>46.45</v>
      </c>
      <c r="J248" s="40">
        <v>0.0</v>
      </c>
      <c r="K248" s="40">
        <v>0.0</v>
      </c>
      <c r="L248" s="69"/>
      <c r="M248" s="40">
        <v>0.0</v>
      </c>
      <c r="N248" s="39"/>
    </row>
    <row r="249">
      <c r="A249" s="41">
        <v>46038.0</v>
      </c>
      <c r="B249" s="55">
        <v>0.0</v>
      </c>
      <c r="C249" s="55">
        <v>183.3</v>
      </c>
      <c r="D249" s="55">
        <v>0.0</v>
      </c>
      <c r="E249" s="55">
        <v>0.0</v>
      </c>
      <c r="F249" s="55">
        <v>0.0</v>
      </c>
      <c r="G249" s="60">
        <v>0.0</v>
      </c>
      <c r="H249" s="40">
        <v>0.0</v>
      </c>
      <c r="I249" s="40">
        <v>0.0</v>
      </c>
      <c r="J249" s="40">
        <v>0.0</v>
      </c>
      <c r="K249" s="40">
        <v>0.0</v>
      </c>
      <c r="L249" s="69"/>
      <c r="M249" s="40">
        <v>0.0</v>
      </c>
      <c r="N249" s="39"/>
    </row>
    <row r="250">
      <c r="A250" s="41">
        <v>46041.0</v>
      </c>
      <c r="B250" s="55">
        <v>192.36</v>
      </c>
      <c r="C250" s="55">
        <v>0.0</v>
      </c>
      <c r="D250" s="55">
        <v>0.0</v>
      </c>
      <c r="E250" s="55">
        <v>0.0</v>
      </c>
      <c r="F250" s="55">
        <v>0.0</v>
      </c>
      <c r="G250" s="60">
        <v>0.0</v>
      </c>
      <c r="H250" s="40">
        <v>0.0</v>
      </c>
      <c r="I250" s="37">
        <v>204.6</v>
      </c>
      <c r="J250" s="40">
        <v>0.0</v>
      </c>
      <c r="K250" s="40">
        <v>120.3</v>
      </c>
      <c r="L250" s="69"/>
      <c r="M250" s="40">
        <v>97.0</v>
      </c>
      <c r="N250" s="39"/>
    </row>
    <row r="251">
      <c r="A251" s="41">
        <v>46043.0</v>
      </c>
      <c r="B251" s="55">
        <v>0.0</v>
      </c>
      <c r="C251" s="55">
        <v>0.0</v>
      </c>
      <c r="D251" s="55">
        <v>0.0</v>
      </c>
      <c r="E251" s="55">
        <v>0.0</v>
      </c>
      <c r="F251" s="55">
        <v>0.0</v>
      </c>
      <c r="G251" s="60">
        <v>0.0</v>
      </c>
      <c r="H251" s="40">
        <v>0.0</v>
      </c>
      <c r="I251" s="37">
        <v>78.0</v>
      </c>
      <c r="J251" s="40">
        <v>0.0</v>
      </c>
      <c r="K251" s="40">
        <v>0.0</v>
      </c>
      <c r="L251" s="39"/>
      <c r="M251" s="37">
        <v>68.36</v>
      </c>
      <c r="N251" s="39"/>
    </row>
    <row r="252">
      <c r="A252" s="41">
        <v>46044.0</v>
      </c>
      <c r="B252" s="55">
        <v>0.0</v>
      </c>
      <c r="C252" s="55">
        <v>0.0</v>
      </c>
      <c r="D252" s="55">
        <v>0.0</v>
      </c>
      <c r="E252" s="55">
        <v>0.0</v>
      </c>
      <c r="F252" s="55">
        <v>0.0</v>
      </c>
      <c r="G252" s="60">
        <v>0.0</v>
      </c>
      <c r="H252" s="40">
        <v>0.0</v>
      </c>
      <c r="I252" s="40">
        <v>0.0</v>
      </c>
      <c r="J252" s="40">
        <v>0.0</v>
      </c>
      <c r="K252" s="40">
        <v>0.0</v>
      </c>
      <c r="L252" s="39"/>
      <c r="M252" s="37">
        <v>58.8</v>
      </c>
      <c r="N252" s="39"/>
    </row>
    <row r="253">
      <c r="A253" s="41">
        <v>46045.0</v>
      </c>
      <c r="B253" s="55">
        <v>0.0</v>
      </c>
      <c r="C253" s="55">
        <v>0.0</v>
      </c>
      <c r="D253" s="55">
        <v>0.0</v>
      </c>
      <c r="E253" s="55">
        <v>0.0</v>
      </c>
      <c r="F253" s="55">
        <v>0.0</v>
      </c>
      <c r="G253" s="55">
        <v>0.0</v>
      </c>
      <c r="H253" s="40">
        <v>0.0</v>
      </c>
      <c r="I253" s="37">
        <v>86.32</v>
      </c>
      <c r="J253" s="40">
        <v>0.0</v>
      </c>
      <c r="K253" s="40">
        <v>0.0</v>
      </c>
      <c r="L253" s="39"/>
      <c r="M253" s="40">
        <v>0.0</v>
      </c>
      <c r="N253" s="39"/>
    </row>
    <row r="254">
      <c r="A254" s="41">
        <v>46048.0</v>
      </c>
      <c r="B254" s="55">
        <v>0.0</v>
      </c>
      <c r="C254" s="55">
        <v>0.0</v>
      </c>
      <c r="D254" s="55">
        <v>0.0</v>
      </c>
      <c r="E254" s="55">
        <v>0.0</v>
      </c>
      <c r="F254" s="55">
        <v>0.0</v>
      </c>
      <c r="G254" s="55">
        <v>0.0</v>
      </c>
      <c r="H254" s="40">
        <v>0.0</v>
      </c>
      <c r="I254" s="37">
        <v>132.5</v>
      </c>
      <c r="J254" s="37">
        <v>12.7</v>
      </c>
      <c r="K254" s="37">
        <v>61.69</v>
      </c>
      <c r="L254" s="39"/>
      <c r="M254" s="37">
        <v>68.45</v>
      </c>
      <c r="N254" s="39"/>
    </row>
    <row r="255">
      <c r="A255" s="41">
        <v>46049.0</v>
      </c>
      <c r="B255" s="55">
        <v>0.0</v>
      </c>
      <c r="C255" s="55">
        <v>0.0</v>
      </c>
      <c r="D255" s="55">
        <v>0.0</v>
      </c>
      <c r="E255" s="55">
        <v>0.0</v>
      </c>
      <c r="F255" s="55">
        <v>0.0</v>
      </c>
      <c r="G255" s="55">
        <v>0.0</v>
      </c>
      <c r="H255" s="37">
        <v>89.35</v>
      </c>
      <c r="I255" s="37">
        <v>72.19</v>
      </c>
      <c r="J255" s="37">
        <v>0.0</v>
      </c>
      <c r="K255" s="37">
        <v>38.55</v>
      </c>
      <c r="L255" s="39"/>
      <c r="M255" s="37">
        <v>46.1</v>
      </c>
      <c r="N255" s="39"/>
    </row>
    <row r="256">
      <c r="A256" s="41">
        <v>46050.0</v>
      </c>
      <c r="B256" s="55">
        <v>102.37</v>
      </c>
      <c r="C256" s="55">
        <v>0.0</v>
      </c>
      <c r="D256" s="55">
        <v>0.0</v>
      </c>
      <c r="E256" s="55">
        <v>0.0</v>
      </c>
      <c r="F256" s="55">
        <v>0.0</v>
      </c>
      <c r="G256" s="55">
        <v>0.0</v>
      </c>
      <c r="H256" s="37">
        <v>0.0</v>
      </c>
      <c r="I256" s="37">
        <v>45.44</v>
      </c>
      <c r="J256" s="37">
        <v>0.0</v>
      </c>
      <c r="K256" s="37">
        <v>37.23</v>
      </c>
      <c r="L256" s="37">
        <v>0.0</v>
      </c>
      <c r="M256" s="37">
        <v>81.41</v>
      </c>
      <c r="N256" s="39"/>
    </row>
    <row r="257">
      <c r="A257" s="41">
        <v>46051.0</v>
      </c>
      <c r="B257" s="55">
        <v>101.26</v>
      </c>
      <c r="C257" s="55">
        <v>0.0</v>
      </c>
      <c r="D257" s="55">
        <v>0.0</v>
      </c>
      <c r="E257" s="55">
        <v>0.0</v>
      </c>
      <c r="F257" s="55">
        <v>0.0</v>
      </c>
      <c r="G257" s="55">
        <v>0.0</v>
      </c>
      <c r="H257" s="37">
        <v>0.0</v>
      </c>
      <c r="I257" s="37">
        <v>46.5</v>
      </c>
      <c r="J257" s="37">
        <v>0.0</v>
      </c>
      <c r="K257" s="37">
        <v>26.8</v>
      </c>
      <c r="L257" s="37">
        <v>0.0</v>
      </c>
      <c r="M257" s="37">
        <v>23.12</v>
      </c>
      <c r="N257" s="39"/>
    </row>
    <row r="258">
      <c r="A258" s="41">
        <v>46052.0</v>
      </c>
      <c r="B258" s="55">
        <v>0.0</v>
      </c>
      <c r="C258" s="55">
        <v>0.0</v>
      </c>
      <c r="D258" s="55">
        <v>0.0</v>
      </c>
      <c r="E258" s="55">
        <v>0.0</v>
      </c>
      <c r="F258" s="55">
        <v>0.0</v>
      </c>
      <c r="G258" s="55">
        <v>0.0</v>
      </c>
      <c r="H258" s="37">
        <v>0.0</v>
      </c>
      <c r="I258" s="37">
        <v>168.52</v>
      </c>
      <c r="J258" s="37">
        <v>35.7</v>
      </c>
      <c r="K258" s="37">
        <v>29.1</v>
      </c>
      <c r="L258" s="37">
        <v>0.0</v>
      </c>
      <c r="M258" s="37">
        <v>28.36</v>
      </c>
      <c r="N258" s="39"/>
    </row>
    <row r="259">
      <c r="A259" s="41">
        <v>46055.0</v>
      </c>
      <c r="B259" s="55">
        <v>0.0</v>
      </c>
      <c r="C259" s="55">
        <v>0.0</v>
      </c>
      <c r="D259" s="55">
        <v>0.0</v>
      </c>
      <c r="E259" s="55">
        <v>0.0</v>
      </c>
      <c r="F259" s="55">
        <v>0.0</v>
      </c>
      <c r="G259" s="55">
        <v>0.0</v>
      </c>
      <c r="H259" s="37">
        <v>0.0</v>
      </c>
      <c r="I259" s="37">
        <v>256.2</v>
      </c>
      <c r="J259" s="37">
        <v>0.0</v>
      </c>
      <c r="K259" s="37">
        <v>72.5</v>
      </c>
      <c r="L259" s="37">
        <v>0.0</v>
      </c>
      <c r="M259" s="37">
        <v>79.2</v>
      </c>
      <c r="N259" s="39"/>
    </row>
    <row r="260">
      <c r="A260" s="41">
        <v>46056.0</v>
      </c>
      <c r="B260" s="55">
        <v>0.0</v>
      </c>
      <c r="C260" s="55">
        <v>0.0</v>
      </c>
      <c r="D260" s="55">
        <v>0.0</v>
      </c>
      <c r="E260" s="55">
        <v>0.0</v>
      </c>
      <c r="F260" s="55">
        <v>0.0</v>
      </c>
      <c r="G260" s="55">
        <v>0.0</v>
      </c>
      <c r="H260" s="37">
        <v>0.0</v>
      </c>
      <c r="I260" s="37">
        <v>78.15</v>
      </c>
      <c r="J260" s="37">
        <v>0.0</v>
      </c>
      <c r="K260" s="37">
        <v>0.0</v>
      </c>
      <c r="L260" s="37">
        <v>0.0</v>
      </c>
      <c r="M260" s="37">
        <v>28.98</v>
      </c>
      <c r="N260" s="39"/>
    </row>
    <row r="261">
      <c r="A261" s="41">
        <v>46057.0</v>
      </c>
      <c r="B261" s="55">
        <v>0.0</v>
      </c>
      <c r="C261" s="55">
        <v>0.0</v>
      </c>
      <c r="D261" s="55">
        <v>0.0</v>
      </c>
      <c r="E261" s="55">
        <v>0.0</v>
      </c>
      <c r="F261" s="55">
        <v>0.0</v>
      </c>
      <c r="G261" s="55">
        <v>0.0</v>
      </c>
      <c r="H261" s="37">
        <v>30.88</v>
      </c>
      <c r="I261" s="37">
        <v>32.58</v>
      </c>
      <c r="J261" s="37">
        <v>0.0</v>
      </c>
      <c r="K261" s="37">
        <v>0.0</v>
      </c>
      <c r="L261" s="37">
        <v>0.0</v>
      </c>
      <c r="M261" s="37">
        <v>14.68</v>
      </c>
      <c r="N261" s="39"/>
    </row>
    <row r="262">
      <c r="A262" s="41">
        <v>46058.0</v>
      </c>
      <c r="B262" s="55">
        <v>0.0</v>
      </c>
      <c r="C262" s="55">
        <v>0.0</v>
      </c>
      <c r="D262" s="55">
        <v>0.0</v>
      </c>
      <c r="E262" s="55">
        <v>0.0</v>
      </c>
      <c r="F262" s="55">
        <v>0.0</v>
      </c>
      <c r="G262" s="55">
        <v>0.0</v>
      </c>
      <c r="H262" s="37">
        <v>0.0</v>
      </c>
      <c r="I262" s="37">
        <v>48.55</v>
      </c>
      <c r="J262" s="37">
        <v>0.0</v>
      </c>
      <c r="K262" s="37">
        <v>19.0</v>
      </c>
      <c r="L262" s="37">
        <v>23.0</v>
      </c>
      <c r="M262" s="37">
        <v>15.75</v>
      </c>
      <c r="N262" s="39"/>
    </row>
    <row r="263">
      <c r="A263" s="41">
        <v>46059.0</v>
      </c>
      <c r="B263" s="55">
        <v>0.0</v>
      </c>
      <c r="C263" s="55">
        <v>0.0</v>
      </c>
      <c r="D263" s="55">
        <v>0.0</v>
      </c>
      <c r="E263" s="55">
        <v>0.0</v>
      </c>
      <c r="F263" s="55">
        <v>0.0</v>
      </c>
      <c r="G263" s="55">
        <v>0.0</v>
      </c>
      <c r="H263" s="37">
        <v>21.95</v>
      </c>
      <c r="I263" s="37">
        <v>37.1</v>
      </c>
      <c r="J263" s="37">
        <v>25.89</v>
      </c>
      <c r="K263" s="37">
        <v>27.95</v>
      </c>
      <c r="L263" s="37">
        <v>0.0</v>
      </c>
      <c r="M263" s="37">
        <v>28.25</v>
      </c>
      <c r="N263" s="39"/>
    </row>
    <row r="264">
      <c r="A264" s="41">
        <v>46062.0</v>
      </c>
      <c r="B264" s="55">
        <v>0.0</v>
      </c>
      <c r="C264" s="55">
        <v>0.0</v>
      </c>
      <c r="D264" s="55">
        <v>0.0</v>
      </c>
      <c r="E264" s="55">
        <v>0.0</v>
      </c>
      <c r="F264" s="55">
        <v>0.0</v>
      </c>
      <c r="G264" s="55">
        <v>0.0</v>
      </c>
      <c r="H264" s="37">
        <v>40.1</v>
      </c>
      <c r="I264" s="37">
        <v>204.23</v>
      </c>
      <c r="J264" s="37">
        <v>0.0</v>
      </c>
      <c r="K264" s="37">
        <v>104.3</v>
      </c>
      <c r="L264" s="37">
        <v>60.29</v>
      </c>
      <c r="M264" s="37">
        <v>56.6</v>
      </c>
      <c r="N264" s="39"/>
    </row>
    <row r="265">
      <c r="A265" s="41">
        <v>46063.0</v>
      </c>
      <c r="B265" s="55">
        <v>0.0</v>
      </c>
      <c r="C265" s="55">
        <v>0.0</v>
      </c>
      <c r="D265" s="55">
        <v>0.0</v>
      </c>
      <c r="E265" s="55">
        <v>0.0</v>
      </c>
      <c r="F265" s="55">
        <v>0.0</v>
      </c>
      <c r="G265" s="55">
        <v>0.0</v>
      </c>
      <c r="H265" s="37">
        <v>0.0</v>
      </c>
      <c r="I265" s="37">
        <v>86.3</v>
      </c>
      <c r="J265" s="37">
        <v>0.0</v>
      </c>
      <c r="K265" s="37">
        <v>0.0</v>
      </c>
      <c r="L265" s="37">
        <v>34.88</v>
      </c>
      <c r="M265" s="37">
        <v>0.0</v>
      </c>
      <c r="N265" s="39"/>
    </row>
    <row r="266">
      <c r="A266" s="41">
        <v>46065.0</v>
      </c>
      <c r="B266" s="55">
        <v>0.0</v>
      </c>
      <c r="C266" s="55">
        <v>0.0</v>
      </c>
      <c r="D266" s="55">
        <v>0.0</v>
      </c>
      <c r="E266" s="55">
        <v>0.0</v>
      </c>
      <c r="F266" s="55">
        <v>0.0</v>
      </c>
      <c r="G266" s="55">
        <v>0.0</v>
      </c>
      <c r="H266" s="37">
        <v>0.0</v>
      </c>
      <c r="I266" s="37">
        <v>149.73</v>
      </c>
      <c r="J266" s="37">
        <v>0.0</v>
      </c>
      <c r="K266" s="39"/>
      <c r="L266" s="37">
        <v>0.0</v>
      </c>
      <c r="M266" s="37">
        <v>108.77</v>
      </c>
      <c r="N266" s="39"/>
    </row>
    <row r="267">
      <c r="A267" s="41">
        <v>46066.0</v>
      </c>
      <c r="B267" s="55">
        <v>0.0</v>
      </c>
      <c r="C267" s="55">
        <v>0.0</v>
      </c>
      <c r="D267" s="55">
        <v>0.0</v>
      </c>
      <c r="E267" s="55">
        <v>0.0</v>
      </c>
      <c r="F267" s="55">
        <v>0.0</v>
      </c>
      <c r="G267" s="55">
        <v>0.0</v>
      </c>
      <c r="H267" s="37">
        <v>0.0</v>
      </c>
      <c r="I267" s="37">
        <v>79.06</v>
      </c>
      <c r="J267" s="37">
        <v>0.0</v>
      </c>
      <c r="K267" s="37">
        <v>30.15</v>
      </c>
      <c r="L267" s="37">
        <v>46.28</v>
      </c>
      <c r="M267" s="37">
        <v>18.86</v>
      </c>
      <c r="N267" s="39"/>
    </row>
    <row r="268">
      <c r="A268" s="41">
        <v>46069.0</v>
      </c>
      <c r="B268" s="55">
        <v>0.0</v>
      </c>
      <c r="C268" s="55">
        <v>0.0</v>
      </c>
      <c r="D268" s="55">
        <v>0.0</v>
      </c>
      <c r="E268" s="55">
        <v>0.0</v>
      </c>
      <c r="F268" s="55">
        <v>0.0</v>
      </c>
      <c r="G268" s="55">
        <v>0.0</v>
      </c>
      <c r="H268" s="37">
        <v>0.0</v>
      </c>
      <c r="I268" s="37">
        <v>96.3</v>
      </c>
      <c r="J268" s="37">
        <v>0.0</v>
      </c>
      <c r="K268" s="37">
        <v>78.15</v>
      </c>
      <c r="L268" s="37">
        <v>101.0</v>
      </c>
      <c r="M268" s="37">
        <v>105.3</v>
      </c>
      <c r="N268" s="39"/>
    </row>
    <row r="269">
      <c r="A269" s="41">
        <v>46071.0</v>
      </c>
      <c r="B269" s="55">
        <v>0.0</v>
      </c>
      <c r="C269" s="55">
        <v>0.0</v>
      </c>
      <c r="D269" s="55">
        <v>0.0</v>
      </c>
      <c r="E269" s="55">
        <v>0.0</v>
      </c>
      <c r="F269" s="55">
        <v>0.0</v>
      </c>
      <c r="G269" s="55">
        <v>0.0</v>
      </c>
      <c r="H269" s="37">
        <v>78.15</v>
      </c>
      <c r="I269" s="37">
        <v>68.45</v>
      </c>
      <c r="J269" s="37">
        <v>0.0</v>
      </c>
      <c r="K269" s="37">
        <v>32.4</v>
      </c>
      <c r="L269" s="37">
        <v>0.0</v>
      </c>
      <c r="M269" s="37">
        <v>30.02</v>
      </c>
      <c r="N269" s="39"/>
    </row>
    <row r="270">
      <c r="A270" s="41">
        <v>46072.0</v>
      </c>
      <c r="B270" s="55">
        <v>0.0</v>
      </c>
      <c r="C270" s="55">
        <v>0.0</v>
      </c>
      <c r="D270" s="55">
        <v>0.0</v>
      </c>
      <c r="E270" s="55">
        <v>0.0</v>
      </c>
      <c r="F270" s="55">
        <v>0.0</v>
      </c>
      <c r="G270" s="55">
        <v>0.0</v>
      </c>
      <c r="H270" s="37">
        <v>37.2</v>
      </c>
      <c r="I270" s="37">
        <v>86.2</v>
      </c>
      <c r="J270" s="37">
        <v>0.0</v>
      </c>
      <c r="K270" s="37">
        <v>80.01</v>
      </c>
      <c r="L270" s="37">
        <v>0.0</v>
      </c>
      <c r="M270" s="37">
        <v>104.55</v>
      </c>
      <c r="N270" s="39"/>
    </row>
    <row r="271">
      <c r="A271" s="41">
        <v>46073.0</v>
      </c>
      <c r="B271" s="55">
        <v>0.0</v>
      </c>
      <c r="C271" s="55">
        <v>0.0</v>
      </c>
      <c r="D271" s="55">
        <v>0.0</v>
      </c>
      <c r="E271" s="55">
        <v>0.0</v>
      </c>
      <c r="F271" s="55">
        <v>0.0</v>
      </c>
      <c r="G271" s="55">
        <v>0.0</v>
      </c>
      <c r="H271" s="37">
        <v>0.0</v>
      </c>
      <c r="I271" s="37">
        <v>189.22</v>
      </c>
      <c r="J271" s="37">
        <v>55.63</v>
      </c>
      <c r="K271" s="37">
        <v>0.0</v>
      </c>
      <c r="L271" s="37">
        <v>91.15</v>
      </c>
      <c r="M271" s="37">
        <v>71.15</v>
      </c>
      <c r="N271" s="39"/>
    </row>
    <row r="272">
      <c r="A272" s="41">
        <v>46076.0</v>
      </c>
      <c r="B272" s="55">
        <v>0.0</v>
      </c>
      <c r="C272" s="55">
        <v>0.0</v>
      </c>
      <c r="D272" s="55">
        <v>0.0</v>
      </c>
      <c r="E272" s="55">
        <v>0.0</v>
      </c>
      <c r="F272" s="55">
        <v>0.0</v>
      </c>
      <c r="G272" s="55">
        <v>0.0</v>
      </c>
      <c r="H272" s="37">
        <v>39.82</v>
      </c>
      <c r="I272" s="39"/>
      <c r="J272" s="39"/>
      <c r="K272" s="39"/>
      <c r="L272" s="39"/>
      <c r="M272" s="39"/>
      <c r="N272" s="39"/>
    </row>
    <row r="273">
      <c r="A273" s="41">
        <v>46077.0</v>
      </c>
      <c r="B273" s="55">
        <v>0.0</v>
      </c>
      <c r="C273" s="55">
        <v>0.0</v>
      </c>
      <c r="D273" s="55">
        <v>0.0</v>
      </c>
      <c r="E273" s="55">
        <v>0.0</v>
      </c>
      <c r="F273" s="55">
        <v>0.0</v>
      </c>
      <c r="G273" s="55">
        <v>0.0</v>
      </c>
      <c r="H273" s="39"/>
      <c r="I273" s="39"/>
      <c r="J273" s="39"/>
      <c r="K273" s="39"/>
      <c r="L273" s="39"/>
      <c r="M273" s="39"/>
      <c r="N273" s="39"/>
    </row>
    <row r="274">
      <c r="A274" s="41">
        <v>46078.0</v>
      </c>
      <c r="B274" s="55">
        <v>0.0</v>
      </c>
      <c r="C274" s="55">
        <v>0.0</v>
      </c>
      <c r="D274" s="55">
        <v>0.0</v>
      </c>
      <c r="E274" s="55">
        <v>0.0</v>
      </c>
      <c r="F274" s="55">
        <v>0.0</v>
      </c>
      <c r="G274" s="55">
        <v>0.0</v>
      </c>
      <c r="H274" s="39"/>
      <c r="I274" s="39"/>
      <c r="J274" s="39"/>
      <c r="K274" s="39"/>
      <c r="L274" s="39"/>
      <c r="M274" s="39"/>
      <c r="N274" s="39"/>
    </row>
    <row r="275">
      <c r="A275" s="41">
        <v>46079.0</v>
      </c>
      <c r="B275" s="55">
        <v>0.0</v>
      </c>
      <c r="C275" s="55">
        <v>0.0</v>
      </c>
      <c r="D275" s="55">
        <v>0.0</v>
      </c>
      <c r="E275" s="55">
        <v>0.0</v>
      </c>
      <c r="F275" s="55">
        <v>0.0</v>
      </c>
      <c r="G275" s="55">
        <v>0.0</v>
      </c>
      <c r="H275" s="39"/>
      <c r="I275" s="39"/>
      <c r="J275" s="39"/>
      <c r="K275" s="39"/>
      <c r="L275" s="39"/>
      <c r="M275" s="39"/>
      <c r="N275" s="39"/>
    </row>
    <row r="276">
      <c r="A276" s="41">
        <v>46080.0</v>
      </c>
      <c r="B276" s="55">
        <v>0.0</v>
      </c>
      <c r="C276" s="55">
        <v>0.0</v>
      </c>
      <c r="D276" s="55">
        <v>0.0</v>
      </c>
      <c r="E276" s="55">
        <v>0.0</v>
      </c>
      <c r="F276" s="55">
        <v>0.0</v>
      </c>
      <c r="G276" s="55">
        <v>0.0</v>
      </c>
      <c r="H276" s="39"/>
      <c r="I276" s="39"/>
      <c r="J276" s="39"/>
      <c r="K276" s="39"/>
      <c r="L276" s="39"/>
      <c r="M276" s="39"/>
      <c r="N276" s="39"/>
    </row>
    <row r="277">
      <c r="A277" s="41">
        <v>46083.0</v>
      </c>
      <c r="B277" s="55">
        <v>0.0</v>
      </c>
      <c r="C277" s="55">
        <v>0.0</v>
      </c>
      <c r="D277" s="55">
        <v>0.0</v>
      </c>
      <c r="E277" s="55">
        <v>0.0</v>
      </c>
      <c r="F277" s="55">
        <v>0.0</v>
      </c>
      <c r="G277" s="55">
        <v>0.0</v>
      </c>
      <c r="H277" s="39"/>
      <c r="I277" s="39"/>
      <c r="J277" s="39"/>
      <c r="K277" s="39"/>
      <c r="L277" s="39"/>
      <c r="M277" s="39"/>
      <c r="N277" s="39"/>
    </row>
    <row r="278">
      <c r="A278" s="41">
        <v>46084.0</v>
      </c>
      <c r="B278" s="36"/>
      <c r="C278" s="36"/>
      <c r="D278" s="36"/>
      <c r="E278" s="36"/>
      <c r="F278" s="36"/>
      <c r="G278" s="36"/>
      <c r="H278" s="39"/>
      <c r="I278" s="39"/>
      <c r="J278" s="39"/>
      <c r="K278" s="39"/>
      <c r="L278" s="39"/>
      <c r="M278" s="39"/>
      <c r="N278" s="39"/>
    </row>
    <row r="279">
      <c r="A279" s="41">
        <v>46085.0</v>
      </c>
      <c r="B279" s="36"/>
      <c r="C279" s="36"/>
      <c r="D279" s="36"/>
      <c r="E279" s="36"/>
      <c r="F279" s="36"/>
      <c r="G279" s="36"/>
      <c r="H279" s="39"/>
      <c r="I279" s="39"/>
      <c r="J279" s="39"/>
      <c r="K279" s="39"/>
      <c r="L279" s="39"/>
      <c r="M279" s="39"/>
      <c r="N279" s="39"/>
    </row>
    <row r="280">
      <c r="A280" s="41">
        <v>46086.0</v>
      </c>
      <c r="B280" s="36"/>
      <c r="C280" s="36"/>
      <c r="D280" s="36"/>
      <c r="E280" s="36"/>
      <c r="F280" s="36"/>
      <c r="G280" s="36"/>
      <c r="H280" s="39"/>
      <c r="I280" s="39"/>
      <c r="J280" s="39"/>
      <c r="K280" s="39"/>
      <c r="L280" s="39"/>
      <c r="M280" s="39"/>
      <c r="N280" s="39"/>
    </row>
    <row r="281">
      <c r="A281" s="41">
        <v>46090.0</v>
      </c>
      <c r="B281" s="36"/>
      <c r="C281" s="36"/>
      <c r="D281" s="36"/>
      <c r="E281" s="36"/>
      <c r="F281" s="36"/>
      <c r="G281" s="36"/>
      <c r="H281" s="39"/>
      <c r="I281" s="39"/>
      <c r="J281" s="39"/>
      <c r="K281" s="39"/>
      <c r="L281" s="39"/>
      <c r="M281" s="39"/>
      <c r="N281" s="39"/>
    </row>
    <row r="282">
      <c r="A282" s="41">
        <v>46091.0</v>
      </c>
      <c r="B282" s="36"/>
      <c r="C282" s="36"/>
      <c r="D282" s="36"/>
      <c r="E282" s="36"/>
      <c r="F282" s="36"/>
      <c r="G282" s="36"/>
      <c r="H282" s="39"/>
      <c r="I282" s="39"/>
      <c r="J282" s="39"/>
      <c r="K282" s="39"/>
      <c r="L282" s="39"/>
      <c r="M282" s="39"/>
      <c r="N282" s="39"/>
    </row>
    <row r="283">
      <c r="A283" s="41">
        <v>46092.0</v>
      </c>
      <c r="B283" s="36"/>
      <c r="C283" s="36"/>
      <c r="D283" s="36"/>
      <c r="E283" s="36"/>
      <c r="F283" s="36"/>
      <c r="G283" s="36"/>
      <c r="H283" s="39"/>
      <c r="I283" s="39"/>
      <c r="J283" s="39"/>
      <c r="K283" s="39"/>
      <c r="L283" s="39"/>
      <c r="M283" s="39"/>
      <c r="N283" s="39"/>
    </row>
    <row r="284">
      <c r="A284" s="41">
        <v>46093.0</v>
      </c>
      <c r="B284" s="52"/>
      <c r="C284" s="52"/>
      <c r="D284" s="52"/>
      <c r="E284" s="52"/>
      <c r="F284" s="52"/>
      <c r="G284" s="52"/>
      <c r="H284" s="52"/>
      <c r="I284" s="52"/>
      <c r="J284" s="39"/>
      <c r="K284" s="39"/>
      <c r="L284" s="39"/>
      <c r="M284" s="39"/>
      <c r="N284" s="39"/>
    </row>
    <row r="285">
      <c r="A285" s="41">
        <v>46094.0</v>
      </c>
      <c r="B285" s="52"/>
      <c r="C285" s="52"/>
      <c r="D285" s="52"/>
      <c r="E285" s="52"/>
      <c r="F285" s="52"/>
      <c r="G285" s="52"/>
      <c r="H285" s="52"/>
      <c r="I285" s="52"/>
      <c r="J285" s="39"/>
      <c r="K285" s="39"/>
      <c r="L285" s="39"/>
      <c r="M285" s="39"/>
      <c r="N285" s="39"/>
    </row>
    <row r="286">
      <c r="A286" s="41">
        <v>46097.0</v>
      </c>
      <c r="B286" s="52"/>
      <c r="C286" s="52"/>
      <c r="D286" s="52"/>
      <c r="E286" s="52"/>
      <c r="F286" s="52"/>
      <c r="G286" s="52"/>
      <c r="H286" s="52"/>
      <c r="I286" s="52"/>
      <c r="J286" s="39"/>
      <c r="K286" s="39"/>
      <c r="L286" s="39"/>
      <c r="M286" s="39"/>
      <c r="N286" s="39"/>
    </row>
    <row r="287">
      <c r="A287" s="41">
        <v>46098.0</v>
      </c>
      <c r="B287" s="52"/>
      <c r="C287" s="52"/>
      <c r="D287" s="52"/>
      <c r="E287" s="52"/>
      <c r="F287" s="52"/>
      <c r="G287" s="52"/>
      <c r="H287" s="52"/>
      <c r="I287" s="52"/>
      <c r="J287" s="39"/>
      <c r="K287" s="39"/>
      <c r="L287" s="39"/>
      <c r="M287" s="39"/>
      <c r="N287" s="39"/>
    </row>
    <row r="288">
      <c r="A288" s="41">
        <v>46099.0</v>
      </c>
      <c r="B288" s="52"/>
      <c r="C288" s="52"/>
      <c r="D288" s="52"/>
      <c r="E288" s="52"/>
      <c r="F288" s="52"/>
      <c r="G288" s="52"/>
      <c r="H288" s="52"/>
      <c r="I288" s="52"/>
      <c r="J288" s="39"/>
      <c r="K288" s="39"/>
      <c r="L288" s="39"/>
      <c r="M288" s="39"/>
      <c r="N288" s="39"/>
    </row>
    <row r="289">
      <c r="A289" s="41">
        <v>46100.0</v>
      </c>
      <c r="B289" s="52"/>
      <c r="C289" s="52"/>
      <c r="D289" s="52"/>
      <c r="E289" s="52"/>
      <c r="F289" s="52"/>
      <c r="G289" s="52"/>
      <c r="H289" s="52"/>
      <c r="I289" s="52"/>
      <c r="J289" s="39"/>
      <c r="K289" s="39"/>
      <c r="L289" s="39"/>
      <c r="M289" s="39"/>
      <c r="N289" s="39"/>
    </row>
    <row r="290">
      <c r="A290" s="41">
        <v>46101.0</v>
      </c>
      <c r="B290" s="52"/>
      <c r="C290" s="52"/>
      <c r="D290" s="52"/>
      <c r="E290" s="52"/>
      <c r="F290" s="52"/>
      <c r="G290" s="52"/>
      <c r="H290" s="52"/>
      <c r="I290" s="52"/>
      <c r="J290" s="39"/>
      <c r="K290" s="39"/>
      <c r="L290" s="39"/>
      <c r="M290" s="39"/>
      <c r="N290" s="39"/>
    </row>
    <row r="291">
      <c r="A291" s="41">
        <v>46104.0</v>
      </c>
      <c r="B291" s="52"/>
      <c r="C291" s="52"/>
      <c r="D291" s="52"/>
      <c r="E291" s="52"/>
      <c r="F291" s="52"/>
      <c r="G291" s="52"/>
      <c r="H291" s="52"/>
      <c r="I291" s="52"/>
      <c r="J291" s="39"/>
      <c r="K291" s="39"/>
      <c r="L291" s="39"/>
      <c r="M291" s="39"/>
      <c r="N291" s="39"/>
    </row>
    <row r="292">
      <c r="A292" s="41">
        <v>46105.0</v>
      </c>
      <c r="B292" s="52"/>
      <c r="C292" s="52"/>
      <c r="D292" s="52"/>
      <c r="E292" s="52"/>
      <c r="F292" s="52"/>
      <c r="G292" s="52"/>
      <c r="H292" s="52"/>
      <c r="I292" s="52"/>
      <c r="J292" s="39"/>
      <c r="K292" s="39"/>
      <c r="L292" s="39"/>
      <c r="M292" s="39"/>
      <c r="N292" s="39"/>
    </row>
    <row r="293">
      <c r="A293" s="41">
        <v>46106.0</v>
      </c>
      <c r="B293" s="52"/>
      <c r="C293" s="52"/>
      <c r="D293" s="52"/>
      <c r="E293" s="52"/>
      <c r="F293" s="52"/>
      <c r="G293" s="52"/>
      <c r="H293" s="52"/>
      <c r="I293" s="52"/>
      <c r="J293" s="39"/>
      <c r="K293" s="39"/>
      <c r="L293" s="39"/>
      <c r="M293" s="39"/>
      <c r="N293" s="39"/>
    </row>
    <row r="294">
      <c r="A294" s="41">
        <v>46107.0</v>
      </c>
      <c r="B294" s="52"/>
      <c r="C294" s="52"/>
      <c r="D294" s="52"/>
      <c r="E294" s="52"/>
      <c r="F294" s="52"/>
      <c r="G294" s="52"/>
      <c r="H294" s="52"/>
      <c r="I294" s="52"/>
      <c r="J294" s="39"/>
      <c r="K294" s="39"/>
      <c r="L294" s="39"/>
      <c r="M294" s="39"/>
      <c r="N294" s="39"/>
    </row>
    <row r="295">
      <c r="A295" s="41">
        <v>46108.0</v>
      </c>
      <c r="B295" s="52"/>
      <c r="C295" s="52"/>
      <c r="D295" s="52"/>
      <c r="E295" s="52"/>
      <c r="F295" s="52"/>
      <c r="G295" s="52"/>
      <c r="H295" s="52"/>
      <c r="I295" s="52"/>
      <c r="J295" s="39"/>
      <c r="K295" s="39"/>
      <c r="L295" s="39"/>
      <c r="M295" s="39"/>
      <c r="N295" s="39"/>
    </row>
    <row r="296">
      <c r="A296" s="41">
        <v>46111.0</v>
      </c>
      <c r="B296" s="52"/>
      <c r="C296" s="52"/>
      <c r="D296" s="52"/>
      <c r="E296" s="52"/>
      <c r="F296" s="52"/>
      <c r="G296" s="52"/>
      <c r="H296" s="52"/>
      <c r="I296" s="52"/>
      <c r="J296" s="39"/>
      <c r="K296" s="39"/>
      <c r="L296" s="39"/>
      <c r="M296" s="39"/>
      <c r="N296" s="39"/>
    </row>
    <row r="297">
      <c r="A297" s="41">
        <v>46112.0</v>
      </c>
      <c r="B297" s="52"/>
      <c r="C297" s="52"/>
      <c r="D297" s="52"/>
      <c r="E297" s="52"/>
      <c r="F297" s="52"/>
      <c r="G297" s="52"/>
      <c r="H297" s="52"/>
      <c r="I297" s="52"/>
      <c r="J297" s="39"/>
      <c r="K297" s="39"/>
      <c r="L297" s="39"/>
      <c r="M297" s="39"/>
      <c r="N297" s="39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39"/>
      <c r="K298" s="39"/>
      <c r="L298" s="39"/>
      <c r="M298" s="39"/>
      <c r="N298" s="39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39"/>
      <c r="K299" s="39"/>
      <c r="L299" s="39"/>
      <c r="M299" s="39"/>
      <c r="N299" s="39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39"/>
      <c r="K300" s="39"/>
      <c r="L300" s="39"/>
      <c r="M300" s="39"/>
      <c r="N300" s="39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39"/>
      <c r="K301" s="39"/>
      <c r="L301" s="39"/>
      <c r="M301" s="39"/>
      <c r="N301" s="39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39"/>
      <c r="K302" s="39"/>
      <c r="L302" s="39"/>
      <c r="M302" s="39"/>
      <c r="N302" s="39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39"/>
      <c r="K303" s="39"/>
      <c r="L303" s="39"/>
      <c r="M303" s="39"/>
      <c r="N303" s="39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39"/>
      <c r="K304" s="39"/>
      <c r="L304" s="39"/>
      <c r="M304" s="39"/>
      <c r="N304" s="39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39"/>
      <c r="K305" s="39"/>
      <c r="L305" s="39"/>
      <c r="M305" s="39"/>
      <c r="N305" s="39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39"/>
      <c r="K306" s="39"/>
      <c r="L306" s="39"/>
      <c r="M306" s="39"/>
      <c r="N306" s="39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39"/>
      <c r="K307" s="39"/>
      <c r="L307" s="39"/>
      <c r="M307" s="39"/>
      <c r="N307" s="39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39"/>
      <c r="K308" s="39"/>
      <c r="L308" s="39"/>
      <c r="M308" s="39"/>
      <c r="N308" s="39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39"/>
      <c r="K309" s="39"/>
      <c r="L309" s="39"/>
      <c r="M309" s="39"/>
      <c r="N309" s="39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39"/>
      <c r="K310" s="39"/>
      <c r="L310" s="39"/>
      <c r="M310" s="39"/>
      <c r="N310" s="39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39"/>
      <c r="K311" s="39"/>
      <c r="L311" s="39"/>
      <c r="M311" s="39"/>
      <c r="N311" s="39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39"/>
      <c r="K312" s="39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39"/>
      <c r="K313" s="39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39"/>
      <c r="K314" s="39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39"/>
      <c r="K315" s="39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39"/>
      <c r="K316" s="39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39"/>
      <c r="K317" s="39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39"/>
      <c r="K318" s="39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39"/>
      <c r="K319" s="39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39"/>
      <c r="K320" s="39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39"/>
      <c r="K321" s="39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39"/>
      <c r="K322" s="39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39"/>
      <c r="K323" s="39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39"/>
      <c r="K324" s="39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39"/>
      <c r="K325" s="39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39"/>
      <c r="K326" s="39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39"/>
      <c r="K327" s="39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39"/>
      <c r="K328" s="39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39"/>
      <c r="K329" s="39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39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39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39"/>
    </row>
    <row r="333">
      <c r="B333" s="22"/>
      <c r="C333" s="22"/>
      <c r="D333" s="22"/>
      <c r="E333" s="52"/>
      <c r="F333" s="52"/>
      <c r="G333" s="52"/>
      <c r="H333" s="52"/>
      <c r="I333" s="52"/>
      <c r="J333" s="39"/>
    </row>
    <row r="334">
      <c r="B334" s="22"/>
      <c r="C334" s="22"/>
      <c r="D334" s="22"/>
      <c r="E334" s="22"/>
      <c r="F334" s="22"/>
      <c r="G334" s="52"/>
    </row>
    <row r="335">
      <c r="B335" s="22"/>
      <c r="C335" s="22"/>
      <c r="D335" s="22"/>
      <c r="E335" s="22"/>
      <c r="F335" s="22"/>
      <c r="G335" s="52"/>
    </row>
    <row r="336">
      <c r="B336" s="22"/>
      <c r="C336" s="22"/>
      <c r="D336" s="22"/>
      <c r="E336" s="22"/>
      <c r="F336" s="22"/>
      <c r="G336" s="22"/>
    </row>
    <row r="337">
      <c r="B337" s="22"/>
      <c r="C337" s="22"/>
      <c r="D337" s="22"/>
      <c r="E337" s="22"/>
      <c r="F337" s="22"/>
      <c r="G337" s="22"/>
    </row>
    <row r="338">
      <c r="B338" s="22"/>
      <c r="C338" s="22"/>
      <c r="D338" s="22"/>
      <c r="E338" s="22"/>
      <c r="F338" s="22"/>
      <c r="G338" s="22"/>
    </row>
    <row r="339">
      <c r="B339" s="22"/>
      <c r="C339" s="22"/>
      <c r="D339" s="22"/>
      <c r="E339" s="22"/>
      <c r="F339" s="22"/>
      <c r="G339" s="22"/>
    </row>
    <row r="340">
      <c r="B340" s="22"/>
      <c r="C340" s="22"/>
      <c r="D340" s="22"/>
      <c r="E340" s="22"/>
      <c r="F340" s="22"/>
      <c r="G340" s="22"/>
    </row>
    <row r="341">
      <c r="B341" s="22"/>
      <c r="C341" s="22"/>
      <c r="D341" s="22"/>
      <c r="E341" s="22"/>
      <c r="F341" s="22"/>
      <c r="G341" s="22"/>
    </row>
    <row r="342">
      <c r="B342" s="22"/>
      <c r="C342" s="22"/>
      <c r="D342" s="22"/>
      <c r="E342" s="22"/>
      <c r="F342" s="22"/>
      <c r="G342" s="22"/>
    </row>
    <row r="343">
      <c r="B343" s="22"/>
      <c r="C343" s="22"/>
      <c r="D343" s="22"/>
      <c r="E343" s="22"/>
      <c r="F343" s="22"/>
      <c r="G343" s="22"/>
    </row>
    <row r="344">
      <c r="B344" s="22"/>
      <c r="C344" s="22"/>
      <c r="D344" s="22"/>
      <c r="E344" s="22"/>
      <c r="F344" s="22"/>
      <c r="G344" s="22"/>
    </row>
    <row r="345">
      <c r="B345" s="22"/>
      <c r="C345" s="22"/>
      <c r="D345" s="22"/>
      <c r="E345" s="22"/>
      <c r="F345" s="22"/>
      <c r="G345" s="22"/>
    </row>
    <row r="346">
      <c r="B346" s="22"/>
      <c r="C346" s="22"/>
      <c r="D346" s="22"/>
      <c r="E346" s="22"/>
      <c r="F346" s="22"/>
      <c r="G346" s="22"/>
    </row>
    <row r="347">
      <c r="B347" s="22"/>
      <c r="C347" s="22"/>
      <c r="D347" s="22"/>
      <c r="E347" s="22"/>
      <c r="F347" s="22"/>
      <c r="G347" s="22"/>
    </row>
    <row r="348">
      <c r="B348" s="22"/>
      <c r="C348" s="22"/>
      <c r="D348" s="22"/>
      <c r="E348" s="22"/>
      <c r="F348" s="22"/>
      <c r="G348" s="22"/>
    </row>
    <row r="349">
      <c r="B349" s="22"/>
      <c r="C349" s="22"/>
      <c r="D349" s="22"/>
      <c r="E349" s="22"/>
      <c r="F349" s="22"/>
      <c r="G349" s="22"/>
    </row>
    <row r="350">
      <c r="B350" s="22"/>
      <c r="C350" s="22"/>
      <c r="D350" s="22"/>
      <c r="E350" s="22"/>
      <c r="F350" s="22"/>
      <c r="G350" s="22"/>
    </row>
    <row r="351">
      <c r="B351" s="22"/>
      <c r="C351" s="22"/>
      <c r="D351" s="22"/>
      <c r="E351" s="22"/>
      <c r="F351" s="22"/>
      <c r="G351" s="22"/>
    </row>
    <row r="352">
      <c r="B352" s="22"/>
      <c r="C352" s="22"/>
      <c r="D352" s="22"/>
      <c r="E352" s="22"/>
      <c r="F352" s="22"/>
      <c r="G352" s="22"/>
    </row>
    <row r="353">
      <c r="B353" s="22"/>
      <c r="C353" s="22"/>
      <c r="D353" s="22"/>
      <c r="E353" s="22"/>
      <c r="F353" s="22"/>
      <c r="G353" s="22"/>
    </row>
    <row r="354">
      <c r="B354" s="22"/>
      <c r="C354" s="22"/>
      <c r="D354" s="22"/>
      <c r="E354" s="22"/>
      <c r="F354" s="22"/>
      <c r="G354" s="22"/>
    </row>
    <row r="355">
      <c r="B355" s="22"/>
      <c r="C355" s="22"/>
      <c r="D355" s="22"/>
      <c r="E355" s="22"/>
      <c r="F355" s="22"/>
      <c r="G355" s="22"/>
    </row>
    <row r="356">
      <c r="B356" s="22"/>
      <c r="C356" s="22"/>
      <c r="D356" s="22"/>
      <c r="E356" s="22"/>
      <c r="F356" s="22"/>
      <c r="G356" s="22"/>
    </row>
    <row r="357">
      <c r="B357" s="22"/>
      <c r="C357" s="22"/>
      <c r="D357" s="22"/>
      <c r="E357" s="22"/>
      <c r="F357" s="22"/>
      <c r="G357" s="22"/>
    </row>
    <row r="358">
      <c r="B358" s="22"/>
      <c r="C358" s="22"/>
      <c r="D358" s="22"/>
      <c r="E358" s="22"/>
      <c r="F358" s="22"/>
      <c r="G358" s="22"/>
    </row>
    <row r="359">
      <c r="B359" s="22"/>
      <c r="C359" s="22"/>
      <c r="D359" s="22"/>
      <c r="E359" s="22"/>
      <c r="F359" s="22"/>
      <c r="G359" s="22"/>
    </row>
    <row r="360">
      <c r="B360" s="22"/>
      <c r="C360" s="22"/>
      <c r="D360" s="22"/>
      <c r="E360" s="22"/>
      <c r="F360" s="22"/>
      <c r="G360" s="22"/>
    </row>
    <row r="361">
      <c r="B361" s="22"/>
      <c r="C361" s="22"/>
      <c r="D361" s="22"/>
      <c r="E361" s="22"/>
      <c r="F361" s="22"/>
      <c r="G361" s="22"/>
    </row>
    <row r="362">
      <c r="B362" s="22"/>
      <c r="C362" s="22"/>
      <c r="D362" s="22"/>
      <c r="E362" s="22"/>
      <c r="F362" s="22"/>
      <c r="G362" s="22"/>
    </row>
    <row r="363">
      <c r="B363" s="22"/>
      <c r="C363" s="22"/>
      <c r="D363" s="22"/>
      <c r="E363" s="22"/>
      <c r="F363" s="22"/>
      <c r="G363" s="22"/>
    </row>
    <row r="364">
      <c r="B364" s="22"/>
      <c r="C364" s="22"/>
      <c r="D364" s="22"/>
      <c r="E364" s="22"/>
      <c r="F364" s="22"/>
      <c r="G364" s="22"/>
    </row>
    <row r="365">
      <c r="B365" s="22"/>
      <c r="C365" s="22"/>
      <c r="D365" s="22"/>
      <c r="E365" s="22"/>
      <c r="F365" s="22"/>
      <c r="G365" s="22"/>
    </row>
    <row r="366">
      <c r="B366" s="22"/>
      <c r="C366" s="22"/>
      <c r="D366" s="22"/>
      <c r="E366" s="22"/>
      <c r="F366" s="22"/>
      <c r="G366" s="22"/>
    </row>
    <row r="367">
      <c r="B367" s="22"/>
      <c r="C367" s="22"/>
      <c r="D367" s="22"/>
      <c r="E367" s="22"/>
      <c r="F367" s="22"/>
      <c r="G367" s="22"/>
    </row>
    <row r="368">
      <c r="B368" s="22"/>
      <c r="C368" s="22"/>
      <c r="D368" s="22"/>
      <c r="E368" s="22"/>
      <c r="F368" s="22"/>
      <c r="G368" s="22"/>
    </row>
    <row r="369">
      <c r="B369" s="22"/>
      <c r="C369" s="22"/>
      <c r="D369" s="22"/>
      <c r="E369" s="22"/>
      <c r="F369" s="22"/>
      <c r="G369" s="22"/>
    </row>
    <row r="370">
      <c r="B370" s="22"/>
      <c r="C370" s="22"/>
      <c r="D370" s="22"/>
      <c r="E370" s="22"/>
      <c r="F370" s="22"/>
      <c r="G370" s="22"/>
    </row>
    <row r="371">
      <c r="B371" s="22"/>
      <c r="C371" s="22"/>
      <c r="D371" s="22"/>
      <c r="E371" s="22"/>
      <c r="F371" s="22"/>
      <c r="G371" s="22"/>
    </row>
    <row r="372">
      <c r="B372" s="22"/>
      <c r="C372" s="22"/>
      <c r="D372" s="22"/>
      <c r="E372" s="22"/>
      <c r="F372" s="22"/>
      <c r="G372" s="22"/>
    </row>
    <row r="373">
      <c r="B373" s="22"/>
      <c r="C373" s="22"/>
      <c r="D373" s="22"/>
      <c r="E373" s="22"/>
      <c r="F373" s="22"/>
      <c r="G373" s="22"/>
    </row>
    <row r="374">
      <c r="B374" s="22"/>
      <c r="C374" s="22"/>
      <c r="D374" s="22"/>
      <c r="E374" s="22"/>
      <c r="F374" s="22"/>
      <c r="G374" s="22"/>
    </row>
    <row r="375">
      <c r="B375" s="22"/>
      <c r="C375" s="22"/>
      <c r="D375" s="22"/>
      <c r="E375" s="22"/>
      <c r="F375" s="22"/>
      <c r="G375" s="22"/>
    </row>
    <row r="376">
      <c r="B376" s="22"/>
      <c r="C376" s="22"/>
      <c r="D376" s="22"/>
      <c r="E376" s="22"/>
      <c r="F376" s="22"/>
      <c r="G376" s="22"/>
    </row>
    <row r="377">
      <c r="B377" s="22"/>
      <c r="C377" s="22"/>
      <c r="D377" s="22"/>
      <c r="E377" s="22"/>
      <c r="F377" s="22"/>
      <c r="G377" s="22"/>
    </row>
    <row r="378">
      <c r="B378" s="22"/>
      <c r="C378" s="22"/>
      <c r="D378" s="22"/>
      <c r="E378" s="22"/>
      <c r="F378" s="22"/>
      <c r="G378" s="22"/>
    </row>
    <row r="379">
      <c r="B379" s="22"/>
      <c r="C379" s="22"/>
      <c r="D379" s="22"/>
      <c r="E379" s="22"/>
      <c r="F379" s="22"/>
      <c r="G379" s="22"/>
    </row>
    <row r="380">
      <c r="B380" s="22"/>
      <c r="C380" s="22"/>
      <c r="D380" s="22"/>
      <c r="E380" s="22"/>
      <c r="F380" s="22"/>
      <c r="G380" s="22"/>
    </row>
    <row r="381">
      <c r="B381" s="22"/>
      <c r="C381" s="22"/>
      <c r="D381" s="22"/>
      <c r="E381" s="22"/>
      <c r="F381" s="22"/>
      <c r="G381" s="22"/>
    </row>
    <row r="382">
      <c r="B382" s="22"/>
      <c r="C382" s="22"/>
      <c r="D382" s="22"/>
      <c r="E382" s="22"/>
      <c r="F382" s="22"/>
      <c r="G382" s="22"/>
    </row>
    <row r="383">
      <c r="B383" s="22"/>
      <c r="C383" s="22"/>
      <c r="D383" s="22"/>
      <c r="E383" s="22"/>
      <c r="F383" s="22"/>
      <c r="G383" s="22"/>
    </row>
    <row r="384">
      <c r="B384" s="22"/>
      <c r="C384" s="22"/>
      <c r="D384" s="22"/>
      <c r="E384" s="22"/>
      <c r="F384" s="22"/>
      <c r="G384" s="22"/>
    </row>
    <row r="385">
      <c r="B385" s="22"/>
      <c r="C385" s="22"/>
      <c r="D385" s="22"/>
      <c r="E385" s="22"/>
      <c r="F385" s="22"/>
      <c r="G385" s="22"/>
    </row>
    <row r="386">
      <c r="B386" s="22"/>
      <c r="C386" s="22"/>
      <c r="D386" s="22"/>
      <c r="E386" s="22"/>
      <c r="F386" s="22"/>
      <c r="G386" s="22"/>
    </row>
    <row r="387">
      <c r="B387" s="22"/>
      <c r="C387" s="22"/>
      <c r="D387" s="22"/>
      <c r="E387" s="22"/>
      <c r="F387" s="22"/>
      <c r="G387" s="22"/>
    </row>
    <row r="388">
      <c r="B388" s="22"/>
      <c r="C388" s="22"/>
      <c r="D388" s="22"/>
      <c r="E388" s="22"/>
      <c r="F388" s="22"/>
      <c r="G388" s="22"/>
    </row>
    <row r="389">
      <c r="B389" s="22"/>
      <c r="C389" s="22"/>
      <c r="D389" s="22"/>
      <c r="E389" s="22"/>
      <c r="F389" s="22"/>
      <c r="G389" s="22"/>
    </row>
    <row r="390">
      <c r="B390" s="22"/>
      <c r="C390" s="22"/>
      <c r="D390" s="22"/>
      <c r="E390" s="22"/>
      <c r="F390" s="22"/>
      <c r="G390" s="22"/>
    </row>
    <row r="391">
      <c r="B391" s="22"/>
      <c r="C391" s="22"/>
      <c r="D391" s="22"/>
      <c r="E391" s="22"/>
      <c r="F391" s="22"/>
      <c r="G391" s="22"/>
    </row>
    <row r="392">
      <c r="B392" s="22"/>
      <c r="C392" s="22"/>
      <c r="D392" s="22"/>
      <c r="E392" s="22"/>
      <c r="F392" s="22"/>
      <c r="G392" s="22"/>
    </row>
    <row r="393">
      <c r="B393" s="22"/>
      <c r="C393" s="22"/>
      <c r="D393" s="22"/>
      <c r="E393" s="22"/>
      <c r="F393" s="22"/>
      <c r="G393" s="22"/>
    </row>
    <row r="394">
      <c r="B394" s="22"/>
      <c r="C394" s="22"/>
      <c r="D394" s="22"/>
      <c r="E394" s="22"/>
      <c r="F394" s="22"/>
      <c r="G394" s="22"/>
    </row>
    <row r="395">
      <c r="B395" s="22"/>
      <c r="C395" s="22"/>
      <c r="D395" s="22"/>
      <c r="E395" s="22"/>
      <c r="F395" s="22"/>
      <c r="G395" s="22"/>
    </row>
    <row r="396">
      <c r="B396" s="22"/>
      <c r="C396" s="22"/>
      <c r="D396" s="22"/>
      <c r="E396" s="22"/>
      <c r="F396" s="22"/>
      <c r="G396" s="22"/>
    </row>
    <row r="397">
      <c r="B397" s="22"/>
      <c r="C397" s="22"/>
      <c r="D397" s="22"/>
      <c r="E397" s="22"/>
      <c r="F397" s="22"/>
      <c r="G397" s="22"/>
    </row>
    <row r="398">
      <c r="B398" s="22"/>
      <c r="C398" s="22"/>
      <c r="D398" s="22"/>
      <c r="E398" s="22"/>
      <c r="F398" s="22"/>
      <c r="G398" s="22"/>
    </row>
    <row r="399">
      <c r="B399" s="22"/>
      <c r="C399" s="22"/>
      <c r="D399" s="22"/>
      <c r="E399" s="22"/>
      <c r="F399" s="22"/>
      <c r="G399" s="22"/>
    </row>
    <row r="400">
      <c r="B400" s="22"/>
      <c r="C400" s="22"/>
      <c r="D400" s="22"/>
      <c r="E400" s="22"/>
      <c r="F400" s="22"/>
      <c r="G400" s="22"/>
    </row>
    <row r="401">
      <c r="B401" s="22"/>
      <c r="C401" s="22"/>
      <c r="D401" s="22"/>
      <c r="E401" s="22"/>
      <c r="F401" s="22"/>
      <c r="G401" s="22"/>
    </row>
    <row r="402">
      <c r="B402" s="22"/>
      <c r="C402" s="22"/>
      <c r="D402" s="22"/>
      <c r="E402" s="22"/>
      <c r="F402" s="22"/>
      <c r="G402" s="22"/>
    </row>
    <row r="403">
      <c r="B403" s="22"/>
      <c r="C403" s="22"/>
      <c r="D403" s="22"/>
      <c r="E403" s="22"/>
      <c r="F403" s="22"/>
      <c r="G403" s="22"/>
    </row>
    <row r="404">
      <c r="B404" s="22"/>
      <c r="C404" s="22"/>
      <c r="D404" s="22"/>
      <c r="E404" s="22"/>
      <c r="F404" s="22"/>
      <c r="G404" s="22"/>
    </row>
    <row r="405">
      <c r="B405" s="22"/>
      <c r="C405" s="22"/>
      <c r="D405" s="22"/>
      <c r="E405" s="22"/>
      <c r="F405" s="22"/>
      <c r="G405" s="22"/>
    </row>
    <row r="406">
      <c r="B406" s="22"/>
      <c r="C406" s="22"/>
      <c r="D406" s="22"/>
      <c r="E406" s="22"/>
      <c r="F406" s="22"/>
      <c r="G406" s="22"/>
    </row>
    <row r="407">
      <c r="B407" s="22"/>
      <c r="C407" s="22"/>
      <c r="D407" s="22"/>
      <c r="E407" s="22"/>
      <c r="F407" s="22"/>
      <c r="G407" s="22"/>
    </row>
    <row r="408">
      <c r="B408" s="22"/>
      <c r="C408" s="22"/>
      <c r="D408" s="22"/>
      <c r="E408" s="22"/>
      <c r="F408" s="22"/>
      <c r="G408" s="22"/>
    </row>
    <row r="409">
      <c r="B409" s="22"/>
      <c r="C409" s="22"/>
      <c r="D409" s="22"/>
      <c r="E409" s="22"/>
      <c r="F409" s="22"/>
      <c r="G409" s="22"/>
    </row>
    <row r="410">
      <c r="B410" s="22"/>
      <c r="C410" s="22"/>
      <c r="D410" s="22"/>
      <c r="E410" s="22"/>
      <c r="F410" s="22"/>
      <c r="G410" s="22"/>
    </row>
    <row r="411">
      <c r="B411" s="22"/>
      <c r="C411" s="22"/>
      <c r="D411" s="22"/>
      <c r="E411" s="22"/>
      <c r="F411" s="22"/>
      <c r="G411" s="22"/>
    </row>
    <row r="412">
      <c r="B412" s="22"/>
      <c r="C412" s="22"/>
      <c r="D412" s="22"/>
      <c r="E412" s="22"/>
      <c r="F412" s="22"/>
      <c r="G412" s="22"/>
    </row>
    <row r="413">
      <c r="B413" s="22"/>
      <c r="C413" s="22"/>
      <c r="D413" s="22"/>
      <c r="E413" s="22"/>
      <c r="F413" s="22"/>
      <c r="G413" s="22"/>
    </row>
    <row r="414">
      <c r="B414" s="22"/>
      <c r="C414" s="22"/>
      <c r="D414" s="22"/>
      <c r="E414" s="22"/>
      <c r="F414" s="22"/>
      <c r="G414" s="22"/>
    </row>
    <row r="415">
      <c r="B415" s="22"/>
      <c r="C415" s="22"/>
      <c r="D415" s="22"/>
      <c r="E415" s="22"/>
      <c r="F415" s="22"/>
      <c r="G415" s="22"/>
    </row>
    <row r="416">
      <c r="B416" s="22"/>
      <c r="C416" s="22"/>
      <c r="D416" s="22"/>
      <c r="E416" s="22"/>
      <c r="F416" s="22"/>
      <c r="G416" s="22"/>
    </row>
    <row r="417">
      <c r="B417" s="22"/>
      <c r="C417" s="22"/>
      <c r="D417" s="22"/>
      <c r="E417" s="22"/>
      <c r="F417" s="22"/>
      <c r="G417" s="22"/>
    </row>
    <row r="418">
      <c r="B418" s="22"/>
      <c r="C418" s="22"/>
      <c r="D418" s="22"/>
      <c r="E418" s="22"/>
      <c r="F418" s="22"/>
      <c r="G418" s="22"/>
    </row>
    <row r="419">
      <c r="B419" s="22"/>
      <c r="C419" s="22"/>
      <c r="D419" s="22"/>
      <c r="E419" s="22"/>
      <c r="F419" s="22"/>
      <c r="G419" s="22"/>
    </row>
    <row r="420">
      <c r="B420" s="22"/>
      <c r="C420" s="22"/>
      <c r="D420" s="22"/>
      <c r="E420" s="22"/>
      <c r="F420" s="22"/>
      <c r="G420" s="22"/>
    </row>
    <row r="421">
      <c r="B421" s="22"/>
      <c r="C421" s="22"/>
      <c r="D421" s="22"/>
      <c r="E421" s="22"/>
      <c r="F421" s="22"/>
      <c r="G421" s="22"/>
    </row>
    <row r="422">
      <c r="B422" s="22"/>
      <c r="C422" s="22"/>
      <c r="D422" s="22"/>
      <c r="E422" s="22"/>
      <c r="F422" s="22"/>
      <c r="G422" s="22"/>
    </row>
    <row r="423">
      <c r="B423" s="22"/>
      <c r="C423" s="22"/>
      <c r="D423" s="22"/>
      <c r="E423" s="22"/>
      <c r="F423" s="22"/>
      <c r="G423" s="22"/>
    </row>
    <row r="424">
      <c r="B424" s="22"/>
      <c r="C424" s="22"/>
      <c r="D424" s="22"/>
      <c r="E424" s="22"/>
      <c r="F424" s="22"/>
      <c r="G424" s="22"/>
    </row>
    <row r="425">
      <c r="B425" s="22"/>
      <c r="C425" s="22"/>
      <c r="D425" s="22"/>
      <c r="E425" s="22"/>
      <c r="F425" s="22"/>
      <c r="G425" s="22"/>
    </row>
    <row r="426">
      <c r="B426" s="22"/>
      <c r="C426" s="22"/>
      <c r="D426" s="22"/>
      <c r="E426" s="22"/>
      <c r="F426" s="22"/>
      <c r="G426" s="22"/>
    </row>
    <row r="427">
      <c r="B427" s="22"/>
      <c r="C427" s="22"/>
      <c r="D427" s="22"/>
      <c r="E427" s="22"/>
      <c r="F427" s="22"/>
      <c r="G427" s="22"/>
    </row>
    <row r="428">
      <c r="B428" s="22"/>
      <c r="C428" s="22"/>
      <c r="D428" s="22"/>
      <c r="E428" s="22"/>
      <c r="F428" s="22"/>
      <c r="G428" s="22"/>
    </row>
    <row r="429">
      <c r="B429" s="22"/>
      <c r="C429" s="22"/>
      <c r="D429" s="22"/>
      <c r="E429" s="22"/>
      <c r="F429" s="22"/>
      <c r="G429" s="22"/>
    </row>
    <row r="430">
      <c r="B430" s="22"/>
      <c r="C430" s="22"/>
      <c r="D430" s="22"/>
      <c r="E430" s="22"/>
      <c r="F430" s="22"/>
      <c r="G430" s="22"/>
    </row>
    <row r="431">
      <c r="B431" s="22"/>
      <c r="C431" s="22"/>
      <c r="D431" s="22"/>
      <c r="E431" s="22"/>
      <c r="F431" s="22"/>
      <c r="G431" s="22"/>
    </row>
    <row r="432">
      <c r="B432" s="22"/>
      <c r="C432" s="22"/>
      <c r="D432" s="22"/>
      <c r="E432" s="22"/>
      <c r="F432" s="22"/>
      <c r="G432" s="22"/>
    </row>
    <row r="433">
      <c r="B433" s="22"/>
      <c r="C433" s="22"/>
      <c r="D433" s="22"/>
      <c r="E433" s="22"/>
      <c r="F433" s="22"/>
      <c r="G433" s="22"/>
    </row>
    <row r="434">
      <c r="B434" s="22"/>
      <c r="C434" s="22"/>
      <c r="D434" s="22"/>
      <c r="E434" s="22"/>
      <c r="F434" s="22"/>
      <c r="G434" s="22"/>
    </row>
    <row r="435">
      <c r="B435" s="22"/>
      <c r="C435" s="22"/>
      <c r="D435" s="22"/>
      <c r="E435" s="22"/>
      <c r="F435" s="22"/>
      <c r="G435" s="22"/>
    </row>
    <row r="436">
      <c r="B436" s="22"/>
      <c r="C436" s="22"/>
      <c r="D436" s="22"/>
      <c r="E436" s="22"/>
      <c r="F436" s="22"/>
      <c r="G436" s="22"/>
    </row>
    <row r="437">
      <c r="B437" s="22"/>
      <c r="C437" s="22"/>
      <c r="D437" s="22"/>
      <c r="E437" s="22"/>
      <c r="F437" s="22"/>
      <c r="G437" s="22"/>
    </row>
    <row r="438">
      <c r="B438" s="22"/>
      <c r="C438" s="22"/>
      <c r="D438" s="22"/>
      <c r="E438" s="22"/>
      <c r="F438" s="22"/>
      <c r="G438" s="22"/>
    </row>
    <row r="439">
      <c r="B439" s="22"/>
      <c r="C439" s="22"/>
      <c r="D439" s="22"/>
      <c r="E439" s="22"/>
      <c r="F439" s="22"/>
      <c r="G439" s="22"/>
    </row>
    <row r="440">
      <c r="B440" s="22"/>
      <c r="C440" s="22"/>
      <c r="D440" s="22"/>
      <c r="E440" s="22"/>
      <c r="F440" s="22"/>
      <c r="G440" s="22"/>
    </row>
    <row r="441">
      <c r="B441" s="22"/>
      <c r="C441" s="22"/>
      <c r="D441" s="22"/>
      <c r="E441" s="22"/>
      <c r="F441" s="22"/>
      <c r="G441" s="22"/>
    </row>
    <row r="442">
      <c r="B442" s="22"/>
      <c r="C442" s="22"/>
      <c r="D442" s="22"/>
      <c r="E442" s="22"/>
      <c r="F442" s="22"/>
      <c r="G442" s="22"/>
    </row>
    <row r="443">
      <c r="B443" s="22"/>
      <c r="C443" s="22"/>
      <c r="D443" s="22"/>
      <c r="E443" s="22"/>
      <c r="F443" s="22"/>
      <c r="G443" s="22"/>
    </row>
    <row r="444">
      <c r="B444" s="22"/>
      <c r="C444" s="22"/>
      <c r="D444" s="22"/>
      <c r="E444" s="22"/>
      <c r="F444" s="22"/>
      <c r="G444" s="22"/>
    </row>
    <row r="445">
      <c r="B445" s="22"/>
      <c r="C445" s="22"/>
      <c r="D445" s="22"/>
      <c r="E445" s="22"/>
      <c r="F445" s="22"/>
      <c r="G445" s="22"/>
    </row>
    <row r="446">
      <c r="B446" s="22"/>
      <c r="C446" s="22"/>
      <c r="D446" s="22"/>
      <c r="E446" s="22"/>
      <c r="F446" s="22"/>
      <c r="G446" s="22"/>
    </row>
    <row r="447">
      <c r="B447" s="22"/>
      <c r="C447" s="22"/>
      <c r="D447" s="22"/>
      <c r="E447" s="22"/>
      <c r="F447" s="22"/>
      <c r="G447" s="22"/>
    </row>
    <row r="448">
      <c r="B448" s="22"/>
      <c r="C448" s="22"/>
      <c r="D448" s="22"/>
      <c r="E448" s="22"/>
      <c r="F448" s="22"/>
      <c r="G448" s="22"/>
    </row>
    <row r="449">
      <c r="B449" s="22"/>
      <c r="C449" s="22"/>
      <c r="D449" s="22"/>
      <c r="E449" s="22"/>
      <c r="F449" s="22"/>
      <c r="G449" s="22"/>
    </row>
    <row r="450">
      <c r="B450" s="22"/>
      <c r="C450" s="22"/>
      <c r="D450" s="22"/>
      <c r="E450" s="22"/>
      <c r="F450" s="22"/>
      <c r="G450" s="22"/>
    </row>
    <row r="451">
      <c r="B451" s="22"/>
      <c r="C451" s="22"/>
      <c r="D451" s="22"/>
      <c r="E451" s="22"/>
      <c r="F451" s="22"/>
      <c r="G451" s="22"/>
    </row>
    <row r="452">
      <c r="B452" s="22"/>
      <c r="C452" s="22"/>
      <c r="D452" s="22"/>
      <c r="E452" s="22"/>
      <c r="F452" s="22"/>
      <c r="G452" s="22"/>
    </row>
    <row r="453">
      <c r="B453" s="22"/>
      <c r="C453" s="22"/>
      <c r="D453" s="22"/>
      <c r="E453" s="22"/>
      <c r="F453" s="22"/>
      <c r="G453" s="22"/>
    </row>
    <row r="454">
      <c r="B454" s="22"/>
      <c r="C454" s="22"/>
      <c r="D454" s="22"/>
      <c r="E454" s="22"/>
      <c r="F454" s="22"/>
      <c r="G454" s="22"/>
    </row>
    <row r="455">
      <c r="B455" s="22"/>
      <c r="C455" s="22"/>
      <c r="D455" s="22"/>
      <c r="E455" s="22"/>
      <c r="F455" s="22"/>
      <c r="G455" s="22"/>
    </row>
    <row r="456">
      <c r="B456" s="22"/>
      <c r="C456" s="22"/>
      <c r="D456" s="22"/>
      <c r="E456" s="22"/>
      <c r="F456" s="22"/>
      <c r="G456" s="22"/>
    </row>
    <row r="457">
      <c r="B457" s="22"/>
      <c r="C457" s="22"/>
      <c r="D457" s="22"/>
      <c r="E457" s="22"/>
      <c r="F457" s="22"/>
      <c r="G457" s="22"/>
    </row>
    <row r="458">
      <c r="B458" s="22"/>
      <c r="C458" s="22"/>
      <c r="D458" s="22"/>
      <c r="E458" s="22"/>
      <c r="F458" s="22"/>
      <c r="G458" s="22"/>
    </row>
    <row r="459">
      <c r="B459" s="22"/>
      <c r="C459" s="22"/>
      <c r="D459" s="22"/>
      <c r="E459" s="22"/>
      <c r="F459" s="22"/>
      <c r="G459" s="22"/>
    </row>
    <row r="460">
      <c r="B460" s="22"/>
      <c r="C460" s="22"/>
      <c r="D460" s="22"/>
      <c r="E460" s="22"/>
      <c r="F460" s="22"/>
      <c r="G460" s="22"/>
    </row>
    <row r="461">
      <c r="B461" s="22"/>
      <c r="C461" s="22"/>
      <c r="D461" s="22"/>
      <c r="E461" s="22"/>
      <c r="F461" s="22"/>
      <c r="G461" s="22"/>
    </row>
    <row r="462">
      <c r="B462" s="22"/>
      <c r="C462" s="22"/>
      <c r="D462" s="22"/>
      <c r="E462" s="22"/>
      <c r="F462" s="22"/>
      <c r="G462" s="22"/>
    </row>
    <row r="463">
      <c r="B463" s="22"/>
      <c r="C463" s="22"/>
      <c r="D463" s="22"/>
      <c r="E463" s="22"/>
      <c r="F463" s="22"/>
      <c r="G463" s="22"/>
    </row>
    <row r="464">
      <c r="B464" s="22"/>
      <c r="C464" s="22"/>
      <c r="D464" s="22"/>
      <c r="E464" s="22"/>
      <c r="F464" s="22"/>
      <c r="G464" s="22"/>
    </row>
    <row r="465">
      <c r="B465" s="22"/>
      <c r="C465" s="22"/>
      <c r="D465" s="22"/>
      <c r="E465" s="22"/>
      <c r="F465" s="22"/>
      <c r="G465" s="22"/>
    </row>
    <row r="466">
      <c r="B466" s="22"/>
      <c r="C466" s="22"/>
      <c r="D466" s="22"/>
      <c r="E466" s="22"/>
      <c r="F466" s="22"/>
      <c r="G466" s="22"/>
    </row>
    <row r="467">
      <c r="B467" s="22"/>
      <c r="C467" s="22"/>
      <c r="D467" s="22"/>
      <c r="E467" s="22"/>
      <c r="F467" s="22"/>
      <c r="G467" s="22"/>
    </row>
    <row r="468">
      <c r="B468" s="22"/>
      <c r="C468" s="22"/>
      <c r="D468" s="22"/>
      <c r="E468" s="22"/>
      <c r="F468" s="22"/>
      <c r="G468" s="22"/>
    </row>
    <row r="469">
      <c r="B469" s="22"/>
      <c r="C469" s="22"/>
      <c r="D469" s="22"/>
      <c r="E469" s="22"/>
      <c r="F469" s="22"/>
      <c r="G469" s="22"/>
    </row>
    <row r="470">
      <c r="B470" s="22"/>
      <c r="C470" s="22"/>
      <c r="D470" s="22"/>
      <c r="E470" s="22"/>
      <c r="F470" s="22"/>
      <c r="G470" s="22"/>
    </row>
    <row r="471">
      <c r="B471" s="22"/>
      <c r="C471" s="22"/>
      <c r="D471" s="22"/>
      <c r="E471" s="22"/>
      <c r="F471" s="22"/>
      <c r="G471" s="22"/>
    </row>
    <row r="472">
      <c r="B472" s="22"/>
      <c r="C472" s="22"/>
      <c r="D472" s="22"/>
      <c r="E472" s="22"/>
      <c r="F472" s="22"/>
      <c r="G472" s="22"/>
    </row>
    <row r="473">
      <c r="B473" s="22"/>
      <c r="C473" s="22"/>
      <c r="D473" s="22"/>
      <c r="E473" s="22"/>
      <c r="F473" s="22"/>
      <c r="G473" s="22"/>
    </row>
    <row r="474">
      <c r="B474" s="22"/>
      <c r="C474" s="22"/>
      <c r="D474" s="22"/>
      <c r="E474" s="22"/>
      <c r="F474" s="22"/>
      <c r="G474" s="22"/>
    </row>
    <row r="475">
      <c r="B475" s="22"/>
      <c r="C475" s="22"/>
      <c r="D475" s="22"/>
      <c r="E475" s="22"/>
      <c r="F475" s="22"/>
      <c r="G475" s="22"/>
    </row>
    <row r="476">
      <c r="B476" s="22"/>
      <c r="C476" s="22"/>
      <c r="D476" s="22"/>
      <c r="E476" s="22"/>
      <c r="F476" s="22"/>
      <c r="G476" s="22"/>
    </row>
    <row r="477">
      <c r="B477" s="22"/>
      <c r="C477" s="22"/>
      <c r="D477" s="22"/>
      <c r="E477" s="22"/>
      <c r="F477" s="22"/>
      <c r="G477" s="22"/>
    </row>
    <row r="478">
      <c r="B478" s="22"/>
      <c r="C478" s="22"/>
      <c r="D478" s="22"/>
      <c r="E478" s="22"/>
      <c r="F478" s="22"/>
      <c r="G478" s="22"/>
    </row>
    <row r="479">
      <c r="B479" s="22"/>
      <c r="C479" s="22"/>
      <c r="D479" s="22"/>
      <c r="E479" s="22"/>
      <c r="F479" s="22"/>
      <c r="G479" s="22"/>
    </row>
    <row r="480">
      <c r="B480" s="22"/>
      <c r="C480" s="22"/>
      <c r="D480" s="22"/>
      <c r="E480" s="22"/>
      <c r="F480" s="22"/>
      <c r="G480" s="22"/>
    </row>
    <row r="481">
      <c r="B481" s="22"/>
      <c r="C481" s="22"/>
      <c r="D481" s="22"/>
      <c r="E481" s="22"/>
      <c r="F481" s="22"/>
      <c r="G481" s="22"/>
    </row>
    <row r="482">
      <c r="B482" s="22"/>
      <c r="C482" s="22"/>
      <c r="D482" s="22"/>
      <c r="E482" s="22"/>
      <c r="F482" s="22"/>
      <c r="G482" s="22"/>
    </row>
    <row r="483">
      <c r="B483" s="22"/>
      <c r="C483" s="22"/>
      <c r="D483" s="22"/>
      <c r="E483" s="22"/>
      <c r="F483" s="22"/>
      <c r="G483" s="22"/>
    </row>
    <row r="484">
      <c r="B484" s="22"/>
      <c r="C484" s="22"/>
      <c r="D484" s="22"/>
      <c r="E484" s="22"/>
      <c r="F484" s="22"/>
      <c r="G484" s="22"/>
    </row>
    <row r="485">
      <c r="B485" s="22"/>
      <c r="C485" s="22"/>
      <c r="D485" s="22"/>
      <c r="E485" s="22"/>
      <c r="F485" s="22"/>
      <c r="G485" s="22"/>
    </row>
    <row r="486">
      <c r="B486" s="22"/>
      <c r="C486" s="22"/>
      <c r="D486" s="22"/>
      <c r="E486" s="22"/>
      <c r="F486" s="22"/>
      <c r="G486" s="22"/>
    </row>
    <row r="487">
      <c r="B487" s="22"/>
      <c r="C487" s="22"/>
      <c r="D487" s="22"/>
      <c r="E487" s="22"/>
      <c r="F487" s="22"/>
      <c r="G487" s="22"/>
    </row>
    <row r="488">
      <c r="B488" s="22"/>
      <c r="C488" s="22"/>
      <c r="D488" s="22"/>
      <c r="E488" s="22"/>
      <c r="F488" s="22"/>
      <c r="G488" s="22"/>
    </row>
    <row r="489">
      <c r="B489" s="22"/>
      <c r="C489" s="22"/>
      <c r="D489" s="22"/>
      <c r="E489" s="22"/>
      <c r="F489" s="22"/>
      <c r="G489" s="22"/>
    </row>
    <row r="490">
      <c r="B490" s="22"/>
      <c r="C490" s="22"/>
      <c r="D490" s="22"/>
      <c r="E490" s="22"/>
      <c r="F490" s="22"/>
      <c r="G490" s="22"/>
    </row>
    <row r="491">
      <c r="B491" s="22"/>
      <c r="C491" s="22"/>
      <c r="D491" s="22"/>
      <c r="E491" s="22"/>
      <c r="F491" s="22"/>
      <c r="G491" s="22"/>
    </row>
    <row r="492">
      <c r="B492" s="22"/>
      <c r="C492" s="22"/>
      <c r="D492" s="22"/>
      <c r="E492" s="22"/>
      <c r="F492" s="22"/>
      <c r="G492" s="22"/>
    </row>
    <row r="493">
      <c r="B493" s="22"/>
      <c r="C493" s="22"/>
      <c r="D493" s="22"/>
      <c r="E493" s="22"/>
      <c r="F493" s="22"/>
      <c r="G493" s="22"/>
    </row>
    <row r="494">
      <c r="B494" s="22"/>
      <c r="C494" s="22"/>
      <c r="D494" s="22"/>
      <c r="E494" s="22"/>
      <c r="F494" s="22"/>
      <c r="G494" s="22"/>
    </row>
    <row r="495">
      <c r="B495" s="22"/>
      <c r="C495" s="22"/>
      <c r="D495" s="22"/>
      <c r="E495" s="22"/>
      <c r="F495" s="22"/>
      <c r="G495" s="22"/>
    </row>
    <row r="496">
      <c r="B496" s="22"/>
      <c r="C496" s="22"/>
      <c r="D496" s="22"/>
      <c r="E496" s="22"/>
      <c r="F496" s="22"/>
      <c r="G496" s="22"/>
    </row>
    <row r="497">
      <c r="B497" s="22"/>
      <c r="C497" s="22"/>
      <c r="D497" s="22"/>
      <c r="E497" s="22"/>
      <c r="F497" s="22"/>
      <c r="G497" s="22"/>
    </row>
    <row r="498">
      <c r="B498" s="22"/>
      <c r="C498" s="22"/>
      <c r="D498" s="22"/>
      <c r="E498" s="22"/>
      <c r="F498" s="22"/>
      <c r="G498" s="22"/>
    </row>
    <row r="499">
      <c r="B499" s="22"/>
      <c r="C499" s="22"/>
      <c r="D499" s="22"/>
      <c r="E499" s="22"/>
      <c r="F499" s="22"/>
      <c r="G499" s="22"/>
    </row>
    <row r="500">
      <c r="B500" s="22"/>
      <c r="C500" s="22"/>
      <c r="D500" s="22"/>
      <c r="E500" s="22"/>
      <c r="F500" s="22"/>
      <c r="G500" s="22"/>
    </row>
    <row r="501">
      <c r="B501" s="22"/>
      <c r="C501" s="22"/>
      <c r="D501" s="22"/>
      <c r="E501" s="22"/>
      <c r="F501" s="22"/>
      <c r="G501" s="22"/>
    </row>
    <row r="502">
      <c r="B502" s="22"/>
      <c r="C502" s="22"/>
      <c r="D502" s="22"/>
      <c r="E502" s="22"/>
      <c r="F502" s="22"/>
      <c r="G502" s="22"/>
    </row>
    <row r="503">
      <c r="B503" s="22"/>
      <c r="C503" s="22"/>
      <c r="D503" s="22"/>
      <c r="E503" s="22"/>
      <c r="F503" s="22"/>
      <c r="G503" s="22"/>
    </row>
    <row r="504">
      <c r="B504" s="22"/>
      <c r="C504" s="22"/>
      <c r="D504" s="22"/>
      <c r="E504" s="22"/>
      <c r="F504" s="22"/>
      <c r="G504" s="22"/>
    </row>
    <row r="505">
      <c r="B505" s="22"/>
      <c r="C505" s="22"/>
      <c r="D505" s="22"/>
      <c r="E505" s="22"/>
      <c r="F505" s="22"/>
      <c r="G505" s="22"/>
    </row>
    <row r="506">
      <c r="B506" s="22"/>
      <c r="C506" s="22"/>
      <c r="D506" s="22"/>
      <c r="E506" s="22"/>
      <c r="F506" s="22"/>
      <c r="G506" s="22"/>
    </row>
    <row r="507">
      <c r="B507" s="22"/>
      <c r="C507" s="22"/>
      <c r="D507" s="22"/>
      <c r="E507" s="22"/>
      <c r="F507" s="22"/>
      <c r="G507" s="22"/>
    </row>
    <row r="508">
      <c r="B508" s="22"/>
      <c r="C508" s="22"/>
      <c r="D508" s="22"/>
      <c r="E508" s="22"/>
      <c r="F508" s="22"/>
      <c r="G508" s="22"/>
    </row>
    <row r="509">
      <c r="B509" s="22"/>
      <c r="C509" s="22"/>
      <c r="D509" s="22"/>
      <c r="E509" s="22"/>
      <c r="F509" s="22"/>
      <c r="G509" s="22"/>
    </row>
    <row r="510">
      <c r="B510" s="22"/>
      <c r="C510" s="22"/>
      <c r="D510" s="22"/>
      <c r="E510" s="22"/>
      <c r="F510" s="22"/>
      <c r="G510" s="22"/>
    </row>
    <row r="511">
      <c r="B511" s="22"/>
      <c r="C511" s="22"/>
      <c r="D511" s="22"/>
      <c r="E511" s="22"/>
      <c r="F511" s="22"/>
      <c r="G511" s="22"/>
    </row>
    <row r="512">
      <c r="B512" s="22"/>
      <c r="C512" s="22"/>
      <c r="D512" s="22"/>
      <c r="E512" s="22"/>
      <c r="F512" s="22"/>
      <c r="G512" s="22"/>
    </row>
    <row r="513">
      <c r="B513" s="22"/>
      <c r="C513" s="22"/>
      <c r="D513" s="22"/>
      <c r="E513" s="22"/>
      <c r="F513" s="22"/>
      <c r="G513" s="22"/>
    </row>
    <row r="514">
      <c r="B514" s="22"/>
      <c r="C514" s="22"/>
      <c r="D514" s="22"/>
      <c r="E514" s="22"/>
      <c r="F514" s="22"/>
      <c r="G514" s="22"/>
    </row>
    <row r="515">
      <c r="B515" s="22"/>
      <c r="C515" s="22"/>
      <c r="D515" s="22"/>
      <c r="E515" s="22"/>
      <c r="F515" s="22"/>
      <c r="G515" s="22"/>
    </row>
    <row r="516">
      <c r="B516" s="22"/>
      <c r="C516" s="22"/>
      <c r="D516" s="22"/>
      <c r="E516" s="22"/>
      <c r="F516" s="22"/>
      <c r="G516" s="22"/>
    </row>
    <row r="517">
      <c r="B517" s="22"/>
      <c r="C517" s="22"/>
      <c r="D517" s="22"/>
      <c r="E517" s="22"/>
      <c r="F517" s="22"/>
      <c r="G517" s="22"/>
    </row>
    <row r="518">
      <c r="B518" s="22"/>
      <c r="C518" s="22"/>
      <c r="D518" s="22"/>
      <c r="E518" s="22"/>
      <c r="F518" s="22"/>
      <c r="G518" s="22"/>
    </row>
    <row r="519">
      <c r="B519" s="22"/>
      <c r="C519" s="22"/>
      <c r="D519" s="22"/>
      <c r="E519" s="22"/>
      <c r="F519" s="22"/>
      <c r="G519" s="22"/>
    </row>
    <row r="520">
      <c r="B520" s="22"/>
      <c r="C520" s="22"/>
      <c r="D520" s="22"/>
      <c r="E520" s="22"/>
      <c r="F520" s="22"/>
      <c r="G520" s="22"/>
    </row>
    <row r="521">
      <c r="B521" s="22"/>
      <c r="C521" s="22"/>
      <c r="D521" s="22"/>
      <c r="E521" s="22"/>
      <c r="F521" s="22"/>
      <c r="G521" s="22"/>
    </row>
    <row r="522">
      <c r="B522" s="22"/>
      <c r="C522" s="22"/>
      <c r="D522" s="22"/>
      <c r="E522" s="22"/>
      <c r="F522" s="22"/>
      <c r="G522" s="22"/>
    </row>
    <row r="523">
      <c r="B523" s="22"/>
      <c r="C523" s="22"/>
      <c r="D523" s="22"/>
      <c r="E523" s="22"/>
      <c r="F523" s="22"/>
      <c r="G523" s="22"/>
    </row>
    <row r="524">
      <c r="B524" s="22"/>
      <c r="C524" s="22"/>
      <c r="D524" s="22"/>
      <c r="E524" s="22"/>
      <c r="F524" s="22"/>
      <c r="G524" s="22"/>
    </row>
    <row r="525">
      <c r="B525" s="22"/>
      <c r="C525" s="22"/>
      <c r="D525" s="22"/>
      <c r="E525" s="22"/>
      <c r="F525" s="22"/>
      <c r="G525" s="22"/>
    </row>
    <row r="526">
      <c r="B526" s="22"/>
      <c r="C526" s="22"/>
      <c r="D526" s="22"/>
      <c r="E526" s="22"/>
      <c r="F526" s="22"/>
      <c r="G526" s="22"/>
    </row>
    <row r="527">
      <c r="B527" s="22"/>
      <c r="C527" s="22"/>
      <c r="D527" s="22"/>
      <c r="E527" s="22"/>
      <c r="F527" s="22"/>
      <c r="G527" s="22"/>
    </row>
    <row r="528">
      <c r="B528" s="22"/>
      <c r="C528" s="22"/>
      <c r="D528" s="22"/>
      <c r="E528" s="22"/>
      <c r="F528" s="22"/>
      <c r="G528" s="22"/>
    </row>
    <row r="529">
      <c r="B529" s="22"/>
      <c r="C529" s="22"/>
      <c r="D529" s="22"/>
      <c r="E529" s="22"/>
      <c r="F529" s="22"/>
      <c r="G529" s="22"/>
    </row>
    <row r="530">
      <c r="B530" s="22"/>
      <c r="C530" s="22"/>
      <c r="D530" s="22"/>
      <c r="E530" s="22"/>
      <c r="F530" s="22"/>
      <c r="G530" s="22"/>
    </row>
    <row r="531">
      <c r="B531" s="22"/>
      <c r="C531" s="22"/>
      <c r="D531" s="22"/>
      <c r="E531" s="22"/>
      <c r="F531" s="22"/>
      <c r="G531" s="22"/>
    </row>
    <row r="532">
      <c r="B532" s="22"/>
      <c r="C532" s="22"/>
      <c r="D532" s="22"/>
      <c r="E532" s="22"/>
      <c r="F532" s="22"/>
      <c r="G532" s="22"/>
    </row>
    <row r="533">
      <c r="B533" s="22"/>
      <c r="C533" s="22"/>
      <c r="D533" s="22"/>
      <c r="E533" s="22"/>
      <c r="F533" s="22"/>
      <c r="G533" s="22"/>
    </row>
    <row r="534">
      <c r="B534" s="22"/>
      <c r="C534" s="22"/>
      <c r="D534" s="22"/>
      <c r="E534" s="22"/>
      <c r="F534" s="22"/>
      <c r="G534" s="22"/>
    </row>
    <row r="535">
      <c r="B535" s="22"/>
      <c r="C535" s="22"/>
      <c r="D535" s="22"/>
      <c r="E535" s="22"/>
      <c r="F535" s="22"/>
      <c r="G535" s="22"/>
    </row>
    <row r="536">
      <c r="B536" s="22"/>
      <c r="C536" s="22"/>
      <c r="D536" s="22"/>
      <c r="E536" s="22"/>
      <c r="F536" s="22"/>
      <c r="G536" s="22"/>
    </row>
    <row r="537">
      <c r="B537" s="22"/>
      <c r="C537" s="22"/>
      <c r="D537" s="22"/>
      <c r="E537" s="22"/>
      <c r="F537" s="22"/>
      <c r="G537" s="22"/>
    </row>
    <row r="538">
      <c r="B538" s="22"/>
      <c r="C538" s="22"/>
      <c r="D538" s="22"/>
      <c r="E538" s="22"/>
      <c r="F538" s="22"/>
      <c r="G538" s="22"/>
    </row>
    <row r="539">
      <c r="B539" s="22"/>
      <c r="C539" s="22"/>
      <c r="D539" s="22"/>
      <c r="E539" s="22"/>
      <c r="F539" s="22"/>
      <c r="G539" s="22"/>
    </row>
    <row r="540">
      <c r="B540" s="22"/>
      <c r="C540" s="22"/>
      <c r="D540" s="22"/>
      <c r="E540" s="22"/>
      <c r="F540" s="22"/>
      <c r="G540" s="22"/>
    </row>
    <row r="541">
      <c r="B541" s="22"/>
      <c r="C541" s="22"/>
      <c r="D541" s="22"/>
      <c r="E541" s="22"/>
      <c r="F541" s="22"/>
      <c r="G541" s="22"/>
    </row>
    <row r="542">
      <c r="B542" s="22"/>
      <c r="C542" s="22"/>
      <c r="D542" s="22"/>
      <c r="E542" s="22"/>
      <c r="F542" s="22"/>
      <c r="G542" s="22"/>
    </row>
    <row r="543">
      <c r="B543" s="22"/>
      <c r="C543" s="22"/>
      <c r="D543" s="22"/>
      <c r="E543" s="22"/>
      <c r="F543" s="22"/>
      <c r="G543" s="22"/>
    </row>
    <row r="544">
      <c r="B544" s="22"/>
      <c r="C544" s="22"/>
      <c r="D544" s="22"/>
      <c r="E544" s="22"/>
      <c r="F544" s="22"/>
      <c r="G544" s="22"/>
    </row>
    <row r="545">
      <c r="B545" s="22"/>
      <c r="C545" s="22"/>
      <c r="D545" s="22"/>
      <c r="E545" s="22"/>
      <c r="F545" s="22"/>
      <c r="G545" s="22"/>
    </row>
    <row r="546">
      <c r="B546" s="22"/>
      <c r="C546" s="22"/>
      <c r="D546" s="22"/>
      <c r="E546" s="22"/>
      <c r="F546" s="22"/>
      <c r="G546" s="22"/>
    </row>
    <row r="547">
      <c r="B547" s="22"/>
      <c r="C547" s="22"/>
      <c r="D547" s="22"/>
      <c r="E547" s="22"/>
      <c r="F547" s="22"/>
      <c r="G547" s="22"/>
    </row>
    <row r="548">
      <c r="B548" s="22"/>
      <c r="C548" s="22"/>
      <c r="D548" s="22"/>
      <c r="E548" s="22"/>
      <c r="F548" s="22"/>
      <c r="G548" s="22"/>
    </row>
    <row r="549">
      <c r="B549" s="22"/>
      <c r="C549" s="22"/>
      <c r="D549" s="22"/>
      <c r="E549" s="22"/>
      <c r="F549" s="22"/>
      <c r="G549" s="22"/>
    </row>
    <row r="550">
      <c r="B550" s="22"/>
      <c r="C550" s="22"/>
      <c r="D550" s="22"/>
      <c r="E550" s="22"/>
      <c r="F550" s="22"/>
      <c r="G550" s="22"/>
    </row>
    <row r="551">
      <c r="B551" s="22"/>
      <c r="C551" s="22"/>
      <c r="D551" s="22"/>
      <c r="E551" s="22"/>
      <c r="F551" s="22"/>
      <c r="G551" s="22"/>
    </row>
    <row r="552">
      <c r="B552" s="22"/>
      <c r="C552" s="22"/>
      <c r="D552" s="22"/>
      <c r="E552" s="22"/>
      <c r="F552" s="22"/>
      <c r="G552" s="22"/>
    </row>
    <row r="553">
      <c r="B553" s="22"/>
      <c r="C553" s="22"/>
      <c r="D553" s="22"/>
      <c r="E553" s="22"/>
      <c r="F553" s="22"/>
      <c r="G553" s="22"/>
    </row>
    <row r="554">
      <c r="B554" s="22"/>
      <c r="C554" s="22"/>
      <c r="D554" s="22"/>
      <c r="E554" s="22"/>
      <c r="F554" s="22"/>
      <c r="G554" s="22"/>
    </row>
    <row r="555">
      <c r="B555" s="22"/>
      <c r="C555" s="22"/>
      <c r="D555" s="22"/>
      <c r="E555" s="22"/>
      <c r="F555" s="22"/>
      <c r="G555" s="22"/>
    </row>
    <row r="556">
      <c r="B556" s="22"/>
      <c r="C556" s="22"/>
      <c r="D556" s="22"/>
      <c r="E556" s="22"/>
      <c r="F556" s="22"/>
      <c r="G556" s="22"/>
    </row>
    <row r="557">
      <c r="B557" s="22"/>
      <c r="C557" s="22"/>
      <c r="D557" s="22"/>
      <c r="E557" s="22"/>
      <c r="F557" s="22"/>
      <c r="G557" s="22"/>
    </row>
    <row r="558">
      <c r="B558" s="22"/>
      <c r="C558" s="22"/>
      <c r="D558" s="22"/>
      <c r="E558" s="22"/>
      <c r="F558" s="22"/>
      <c r="G558" s="22"/>
    </row>
    <row r="559">
      <c r="B559" s="22"/>
      <c r="C559" s="22"/>
      <c r="D559" s="22"/>
      <c r="E559" s="22"/>
      <c r="F559" s="22"/>
      <c r="G559" s="22"/>
    </row>
    <row r="560">
      <c r="B560" s="22"/>
      <c r="C560" s="22"/>
      <c r="D560" s="22"/>
      <c r="E560" s="22"/>
      <c r="F560" s="22"/>
      <c r="G560" s="22"/>
    </row>
    <row r="561">
      <c r="B561" s="22"/>
      <c r="C561" s="22"/>
      <c r="D561" s="22"/>
      <c r="E561" s="22"/>
      <c r="F561" s="22"/>
      <c r="G561" s="22"/>
    </row>
    <row r="562">
      <c r="B562" s="22"/>
      <c r="C562" s="22"/>
      <c r="D562" s="22"/>
      <c r="E562" s="22"/>
      <c r="F562" s="22"/>
      <c r="G562" s="22"/>
    </row>
    <row r="563">
      <c r="B563" s="22"/>
      <c r="C563" s="22"/>
      <c r="D563" s="22"/>
      <c r="E563" s="22"/>
      <c r="F563" s="22"/>
      <c r="G563" s="22"/>
    </row>
    <row r="564">
      <c r="B564" s="22"/>
      <c r="C564" s="22"/>
      <c r="D564" s="22"/>
      <c r="E564" s="22"/>
      <c r="F564" s="22"/>
      <c r="G564" s="22"/>
    </row>
    <row r="565">
      <c r="B565" s="22"/>
      <c r="C565" s="22"/>
      <c r="D565" s="22"/>
      <c r="E565" s="22"/>
      <c r="F565" s="22"/>
      <c r="G565" s="22"/>
    </row>
    <row r="566">
      <c r="B566" s="22"/>
      <c r="C566" s="22"/>
      <c r="D566" s="22"/>
      <c r="E566" s="22"/>
      <c r="F566" s="22"/>
      <c r="G566" s="22"/>
    </row>
    <row r="567">
      <c r="B567" s="22"/>
      <c r="C567" s="22"/>
      <c r="D567" s="22"/>
      <c r="E567" s="22"/>
      <c r="F567" s="22"/>
      <c r="G567" s="22"/>
    </row>
    <row r="568">
      <c r="B568" s="22"/>
      <c r="C568" s="22"/>
      <c r="D568" s="22"/>
      <c r="E568" s="22"/>
      <c r="F568" s="22"/>
      <c r="G568" s="22"/>
    </row>
    <row r="569">
      <c r="B569" s="22"/>
      <c r="C569" s="22"/>
      <c r="D569" s="22"/>
      <c r="E569" s="22"/>
      <c r="F569" s="22"/>
      <c r="G569" s="22"/>
    </row>
    <row r="570">
      <c r="B570" s="22"/>
      <c r="C570" s="22"/>
      <c r="D570" s="22"/>
      <c r="E570" s="22"/>
      <c r="F570" s="22"/>
      <c r="G570" s="22"/>
    </row>
    <row r="571">
      <c r="B571" s="22"/>
      <c r="C571" s="22"/>
      <c r="D571" s="22"/>
      <c r="E571" s="22"/>
      <c r="F571" s="22"/>
      <c r="G571" s="22"/>
    </row>
    <row r="572">
      <c r="B572" s="22"/>
      <c r="C572" s="22"/>
      <c r="D572" s="22"/>
      <c r="E572" s="22"/>
      <c r="F572" s="22"/>
      <c r="G572" s="22"/>
    </row>
    <row r="573">
      <c r="B573" s="22"/>
      <c r="C573" s="22"/>
      <c r="D573" s="22"/>
      <c r="E573" s="22"/>
      <c r="F573" s="22"/>
      <c r="G573" s="22"/>
    </row>
    <row r="574">
      <c r="B574" s="22"/>
      <c r="C574" s="22"/>
      <c r="D574" s="22"/>
      <c r="E574" s="22"/>
      <c r="F574" s="22"/>
      <c r="G574" s="22"/>
    </row>
    <row r="575">
      <c r="B575" s="22"/>
      <c r="C575" s="22"/>
      <c r="D575" s="22"/>
      <c r="E575" s="22"/>
      <c r="F575" s="22"/>
      <c r="G575" s="22"/>
    </row>
    <row r="576">
      <c r="B576" s="22"/>
      <c r="C576" s="22"/>
      <c r="D576" s="22"/>
      <c r="E576" s="22"/>
      <c r="F576" s="22"/>
      <c r="G576" s="22"/>
    </row>
    <row r="577">
      <c r="B577" s="22"/>
      <c r="C577" s="22"/>
      <c r="D577" s="22"/>
      <c r="E577" s="22"/>
      <c r="F577" s="22"/>
      <c r="G577" s="22"/>
    </row>
    <row r="578">
      <c r="B578" s="22"/>
      <c r="C578" s="22"/>
      <c r="D578" s="22"/>
      <c r="E578" s="22"/>
      <c r="F578" s="22"/>
      <c r="G578" s="22"/>
    </row>
    <row r="579">
      <c r="B579" s="22"/>
      <c r="C579" s="22"/>
      <c r="D579" s="22"/>
      <c r="E579" s="22"/>
      <c r="F579" s="22"/>
      <c r="G579" s="22"/>
    </row>
    <row r="580">
      <c r="B580" s="22"/>
      <c r="C580" s="22"/>
      <c r="D580" s="22"/>
      <c r="E580" s="22"/>
      <c r="F580" s="22"/>
      <c r="G580" s="22"/>
    </row>
    <row r="581">
      <c r="B581" s="22"/>
      <c r="C581" s="22"/>
      <c r="D581" s="22"/>
      <c r="E581" s="22"/>
      <c r="F581" s="22"/>
      <c r="G581" s="22"/>
    </row>
    <row r="582">
      <c r="B582" s="22"/>
      <c r="C582" s="22"/>
      <c r="D582" s="22"/>
      <c r="E582" s="22"/>
      <c r="F582" s="22"/>
      <c r="G582" s="22"/>
    </row>
    <row r="583">
      <c r="B583" s="22"/>
      <c r="C583" s="22"/>
      <c r="D583" s="22"/>
      <c r="E583" s="22"/>
      <c r="F583" s="22"/>
      <c r="G583" s="22"/>
    </row>
    <row r="584">
      <c r="B584" s="22"/>
      <c r="C584" s="22"/>
      <c r="D584" s="22"/>
      <c r="E584" s="22"/>
      <c r="F584" s="22"/>
      <c r="G584" s="22"/>
    </row>
    <row r="585">
      <c r="B585" s="22"/>
      <c r="C585" s="22"/>
      <c r="D585" s="22"/>
      <c r="E585" s="22"/>
      <c r="F585" s="22"/>
      <c r="G585" s="22"/>
    </row>
    <row r="586">
      <c r="B586" s="22"/>
      <c r="C586" s="22"/>
      <c r="D586" s="22"/>
      <c r="E586" s="22"/>
      <c r="F586" s="22"/>
      <c r="G586" s="22"/>
    </row>
    <row r="587">
      <c r="B587" s="22"/>
      <c r="C587" s="22"/>
      <c r="D587" s="22"/>
      <c r="E587" s="22"/>
      <c r="F587" s="22"/>
      <c r="G587" s="22"/>
    </row>
    <row r="588">
      <c r="B588" s="22"/>
      <c r="C588" s="22"/>
      <c r="D588" s="22"/>
      <c r="E588" s="22"/>
      <c r="F588" s="22"/>
      <c r="G588" s="22"/>
    </row>
    <row r="589">
      <c r="B589" s="22"/>
      <c r="C589" s="22"/>
      <c r="D589" s="22"/>
      <c r="E589" s="22"/>
      <c r="F589" s="22"/>
      <c r="G589" s="22"/>
    </row>
    <row r="590">
      <c r="B590" s="22"/>
      <c r="C590" s="22"/>
      <c r="D590" s="22"/>
      <c r="E590" s="22"/>
      <c r="F590" s="22"/>
      <c r="G590" s="22"/>
    </row>
    <row r="591">
      <c r="B591" s="22"/>
      <c r="C591" s="22"/>
      <c r="D591" s="22"/>
      <c r="E591" s="22"/>
      <c r="F591" s="22"/>
      <c r="G591" s="22"/>
    </row>
    <row r="592">
      <c r="B592" s="22"/>
      <c r="C592" s="22"/>
      <c r="D592" s="22"/>
      <c r="E592" s="22"/>
      <c r="F592" s="22"/>
      <c r="G592" s="22"/>
    </row>
    <row r="593">
      <c r="B593" s="22"/>
      <c r="C593" s="22"/>
      <c r="D593" s="22"/>
      <c r="E593" s="22"/>
      <c r="F593" s="22"/>
      <c r="G593" s="22"/>
    </row>
    <row r="594">
      <c r="B594" s="22"/>
      <c r="C594" s="22"/>
      <c r="D594" s="22"/>
      <c r="E594" s="22"/>
      <c r="F594" s="22"/>
      <c r="G594" s="22"/>
    </row>
    <row r="595">
      <c r="B595" s="22"/>
      <c r="C595" s="22"/>
      <c r="D595" s="22"/>
      <c r="E595" s="22"/>
      <c r="F595" s="22"/>
      <c r="G595" s="22"/>
    </row>
    <row r="596">
      <c r="B596" s="22"/>
      <c r="C596" s="22"/>
      <c r="D596" s="22"/>
      <c r="E596" s="22"/>
      <c r="F596" s="22"/>
      <c r="G596" s="22"/>
    </row>
    <row r="597">
      <c r="B597" s="22"/>
      <c r="C597" s="22"/>
      <c r="D597" s="22"/>
      <c r="E597" s="22"/>
      <c r="F597" s="22"/>
      <c r="G597" s="22"/>
    </row>
    <row r="598">
      <c r="B598" s="22"/>
      <c r="C598" s="22"/>
      <c r="D598" s="22"/>
      <c r="E598" s="22"/>
      <c r="F598" s="22"/>
      <c r="G598" s="22"/>
    </row>
    <row r="599">
      <c r="B599" s="22"/>
      <c r="C599" s="22"/>
      <c r="D599" s="22"/>
      <c r="E599" s="22"/>
      <c r="F599" s="22"/>
      <c r="G599" s="22"/>
    </row>
    <row r="600">
      <c r="B600" s="22"/>
      <c r="C600" s="22"/>
      <c r="D600" s="22"/>
      <c r="E600" s="22"/>
      <c r="F600" s="22"/>
      <c r="G600" s="22"/>
    </row>
    <row r="601">
      <c r="B601" s="22"/>
      <c r="C601" s="22"/>
      <c r="D601" s="22"/>
      <c r="E601" s="22"/>
      <c r="F601" s="22"/>
      <c r="G601" s="22"/>
    </row>
    <row r="602">
      <c r="B602" s="22"/>
      <c r="C602" s="22"/>
      <c r="D602" s="22"/>
      <c r="E602" s="22"/>
      <c r="F602" s="22"/>
      <c r="G602" s="22"/>
    </row>
    <row r="603">
      <c r="B603" s="22"/>
      <c r="C603" s="22"/>
      <c r="D603" s="22"/>
      <c r="E603" s="22"/>
      <c r="F603" s="22"/>
      <c r="G603" s="22"/>
    </row>
    <row r="604">
      <c r="B604" s="22"/>
      <c r="C604" s="22"/>
      <c r="D604" s="22"/>
      <c r="E604" s="22"/>
      <c r="F604" s="22"/>
      <c r="G604" s="22"/>
    </row>
    <row r="605">
      <c r="B605" s="22"/>
      <c r="C605" s="22"/>
      <c r="D605" s="22"/>
      <c r="E605" s="22"/>
      <c r="F605" s="22"/>
      <c r="G605" s="22"/>
    </row>
    <row r="606">
      <c r="B606" s="22"/>
      <c r="C606" s="22"/>
      <c r="D606" s="22"/>
      <c r="E606" s="22"/>
      <c r="F606" s="22"/>
      <c r="G606" s="22"/>
    </row>
    <row r="607">
      <c r="B607" s="22"/>
      <c r="C607" s="22"/>
      <c r="D607" s="22"/>
      <c r="E607" s="22"/>
      <c r="F607" s="22"/>
      <c r="G607" s="22"/>
    </row>
    <row r="608">
      <c r="B608" s="22"/>
      <c r="C608" s="22"/>
      <c r="D608" s="22"/>
      <c r="E608" s="22"/>
      <c r="F608" s="22"/>
      <c r="G608" s="22"/>
    </row>
    <row r="609">
      <c r="B609" s="22"/>
      <c r="C609" s="22"/>
      <c r="D609" s="22"/>
      <c r="E609" s="22"/>
      <c r="F609" s="22"/>
      <c r="G609" s="22"/>
    </row>
    <row r="610">
      <c r="B610" s="22"/>
      <c r="C610" s="22"/>
      <c r="D610" s="22"/>
      <c r="E610" s="22"/>
      <c r="F610" s="22"/>
      <c r="G610" s="22"/>
    </row>
    <row r="611">
      <c r="B611" s="22"/>
      <c r="C611" s="22"/>
      <c r="D611" s="22"/>
      <c r="E611" s="22"/>
      <c r="F611" s="22"/>
      <c r="G611" s="22"/>
    </row>
    <row r="612">
      <c r="B612" s="22"/>
      <c r="C612" s="22"/>
      <c r="D612" s="22"/>
      <c r="E612" s="22"/>
      <c r="F612" s="22"/>
      <c r="G612" s="22"/>
    </row>
    <row r="613">
      <c r="B613" s="22"/>
      <c r="C613" s="22"/>
      <c r="D613" s="22"/>
      <c r="E613" s="22"/>
      <c r="F613" s="22"/>
      <c r="G613" s="22"/>
    </row>
    <row r="614">
      <c r="B614" s="22"/>
      <c r="C614" s="22"/>
      <c r="D614" s="22"/>
      <c r="E614" s="22"/>
      <c r="F614" s="22"/>
      <c r="G614" s="22"/>
    </row>
    <row r="615">
      <c r="B615" s="22"/>
      <c r="C615" s="22"/>
      <c r="D615" s="22"/>
      <c r="E615" s="22"/>
      <c r="F615" s="22"/>
      <c r="G615" s="22"/>
    </row>
    <row r="616">
      <c r="B616" s="22"/>
      <c r="C616" s="22"/>
      <c r="D616" s="22"/>
      <c r="E616" s="22"/>
      <c r="F616" s="22"/>
      <c r="G616" s="22"/>
    </row>
    <row r="617">
      <c r="B617" s="22"/>
      <c r="C617" s="22"/>
      <c r="D617" s="22"/>
      <c r="E617" s="22"/>
      <c r="F617" s="22"/>
      <c r="G617" s="22"/>
    </row>
    <row r="618">
      <c r="B618" s="22"/>
      <c r="C618" s="22"/>
      <c r="D618" s="22"/>
      <c r="E618" s="22"/>
      <c r="F618" s="22"/>
      <c r="G618" s="22"/>
    </row>
    <row r="619">
      <c r="B619" s="22"/>
      <c r="C619" s="22"/>
      <c r="D619" s="22"/>
      <c r="E619" s="22"/>
      <c r="F619" s="22"/>
      <c r="G619" s="22"/>
    </row>
    <row r="620">
      <c r="B620" s="22"/>
      <c r="C620" s="22"/>
      <c r="D620" s="22"/>
      <c r="E620" s="22"/>
      <c r="F620" s="22"/>
      <c r="G620" s="22"/>
    </row>
    <row r="621">
      <c r="B621" s="22"/>
      <c r="C621" s="22"/>
      <c r="D621" s="22"/>
      <c r="E621" s="22"/>
      <c r="F621" s="22"/>
      <c r="G621" s="22"/>
    </row>
    <row r="622">
      <c r="B622" s="22"/>
      <c r="C622" s="22"/>
      <c r="D622" s="22"/>
      <c r="E622" s="22"/>
      <c r="F622" s="22"/>
      <c r="G622" s="22"/>
    </row>
    <row r="623">
      <c r="B623" s="22"/>
      <c r="C623" s="22"/>
      <c r="D623" s="22"/>
      <c r="E623" s="22"/>
      <c r="F623" s="22"/>
      <c r="G623" s="22"/>
    </row>
    <row r="624">
      <c r="B624" s="22"/>
      <c r="C624" s="22"/>
      <c r="D624" s="22"/>
      <c r="E624" s="22"/>
      <c r="F624" s="22"/>
      <c r="G624" s="22"/>
    </row>
    <row r="625">
      <c r="B625" s="22"/>
      <c r="C625" s="22"/>
      <c r="D625" s="22"/>
      <c r="E625" s="22"/>
      <c r="F625" s="22"/>
      <c r="G625" s="22"/>
    </row>
    <row r="626">
      <c r="B626" s="22"/>
      <c r="C626" s="22"/>
      <c r="D626" s="22"/>
      <c r="E626" s="22"/>
      <c r="F626" s="22"/>
      <c r="G626" s="22"/>
    </row>
    <row r="627">
      <c r="B627" s="22"/>
      <c r="C627" s="22"/>
      <c r="D627" s="22"/>
      <c r="E627" s="22"/>
      <c r="F627" s="22"/>
      <c r="G627" s="22"/>
    </row>
    <row r="628">
      <c r="B628" s="22"/>
      <c r="C628" s="22"/>
      <c r="D628" s="22"/>
      <c r="E628" s="22"/>
      <c r="F628" s="22"/>
      <c r="G628" s="22"/>
    </row>
    <row r="629">
      <c r="B629" s="22"/>
      <c r="C629" s="22"/>
      <c r="D629" s="22"/>
      <c r="E629" s="22"/>
      <c r="F629" s="22"/>
      <c r="G629" s="22"/>
    </row>
    <row r="630">
      <c r="B630" s="22"/>
      <c r="C630" s="22"/>
      <c r="D630" s="22"/>
      <c r="E630" s="22"/>
      <c r="F630" s="22"/>
      <c r="G630" s="22"/>
    </row>
    <row r="631">
      <c r="B631" s="22"/>
      <c r="C631" s="22"/>
      <c r="D631" s="22"/>
      <c r="E631" s="22"/>
      <c r="F631" s="22"/>
      <c r="G631" s="22"/>
    </row>
    <row r="632">
      <c r="B632" s="22"/>
      <c r="C632" s="22"/>
      <c r="D632" s="22"/>
      <c r="E632" s="22"/>
      <c r="F632" s="22"/>
      <c r="G632" s="22"/>
    </row>
    <row r="633">
      <c r="B633" s="22"/>
      <c r="C633" s="22"/>
      <c r="D633" s="22"/>
      <c r="E633" s="22"/>
      <c r="F633" s="22"/>
      <c r="G633" s="22"/>
    </row>
    <row r="634">
      <c r="B634" s="22"/>
      <c r="C634" s="22"/>
      <c r="D634" s="22"/>
      <c r="E634" s="22"/>
      <c r="F634" s="22"/>
      <c r="G634" s="22"/>
    </row>
    <row r="635">
      <c r="B635" s="22"/>
      <c r="C635" s="22"/>
      <c r="D635" s="22"/>
      <c r="E635" s="22"/>
      <c r="F635" s="22"/>
      <c r="G635" s="22"/>
    </row>
    <row r="636">
      <c r="B636" s="22"/>
      <c r="C636" s="22"/>
      <c r="D636" s="22"/>
      <c r="E636" s="22"/>
      <c r="F636" s="22"/>
      <c r="G636" s="22"/>
    </row>
    <row r="637">
      <c r="B637" s="22"/>
      <c r="C637" s="22"/>
      <c r="D637" s="22"/>
      <c r="E637" s="22"/>
      <c r="F637" s="22"/>
      <c r="G637" s="22"/>
    </row>
    <row r="638">
      <c r="B638" s="22"/>
      <c r="C638" s="22"/>
      <c r="D638" s="22"/>
      <c r="E638" s="22"/>
      <c r="F638" s="22"/>
      <c r="G638" s="22"/>
    </row>
    <row r="639">
      <c r="B639" s="22"/>
      <c r="C639" s="22"/>
      <c r="D639" s="22"/>
      <c r="E639" s="22"/>
      <c r="F639" s="22"/>
      <c r="G639" s="22"/>
    </row>
    <row r="640">
      <c r="B640" s="22"/>
      <c r="C640" s="22"/>
      <c r="D640" s="22"/>
      <c r="E640" s="22"/>
      <c r="F640" s="22"/>
      <c r="G640" s="22"/>
    </row>
    <row r="641">
      <c r="B641" s="22"/>
      <c r="C641" s="22"/>
      <c r="D641" s="22"/>
      <c r="E641" s="22"/>
      <c r="F641" s="22"/>
      <c r="G641" s="22"/>
    </row>
    <row r="642">
      <c r="B642" s="22"/>
      <c r="C642" s="22"/>
      <c r="D642" s="22"/>
      <c r="E642" s="22"/>
      <c r="F642" s="22"/>
      <c r="G642" s="22"/>
    </row>
    <row r="643">
      <c r="B643" s="22"/>
      <c r="C643" s="22"/>
      <c r="D643" s="22"/>
      <c r="E643" s="22"/>
      <c r="F643" s="22"/>
      <c r="G643" s="22"/>
    </row>
    <row r="644">
      <c r="B644" s="22"/>
      <c r="C644" s="22"/>
      <c r="D644" s="22"/>
      <c r="E644" s="22"/>
      <c r="F644" s="22"/>
      <c r="G644" s="22"/>
    </row>
    <row r="645">
      <c r="B645" s="22"/>
      <c r="C645" s="22"/>
      <c r="D645" s="22"/>
      <c r="E645" s="22"/>
      <c r="F645" s="22"/>
      <c r="G645" s="22"/>
    </row>
    <row r="646">
      <c r="B646" s="22"/>
      <c r="C646" s="22"/>
      <c r="D646" s="22"/>
      <c r="E646" s="22"/>
      <c r="F646" s="22"/>
      <c r="G646" s="22"/>
    </row>
    <row r="647">
      <c r="B647" s="22"/>
      <c r="C647" s="22"/>
      <c r="D647" s="22"/>
      <c r="E647" s="22"/>
      <c r="F647" s="22"/>
      <c r="G647" s="22"/>
    </row>
    <row r="648">
      <c r="B648" s="22"/>
      <c r="C648" s="22"/>
      <c r="D648" s="22"/>
      <c r="E648" s="22"/>
      <c r="F648" s="22"/>
      <c r="G648" s="22"/>
    </row>
    <row r="649">
      <c r="B649" s="22"/>
      <c r="C649" s="22"/>
      <c r="D649" s="22"/>
      <c r="E649" s="22"/>
      <c r="F649" s="22"/>
      <c r="G649" s="22"/>
    </row>
    <row r="650">
      <c r="B650" s="22"/>
      <c r="C650" s="22"/>
      <c r="D650" s="22"/>
      <c r="E650" s="22"/>
      <c r="F650" s="22"/>
      <c r="G650" s="22"/>
    </row>
    <row r="651">
      <c r="B651" s="22"/>
      <c r="C651" s="22"/>
      <c r="D651" s="22"/>
      <c r="E651" s="22"/>
      <c r="F651" s="22"/>
      <c r="G651" s="22"/>
    </row>
    <row r="652">
      <c r="B652" s="22"/>
      <c r="C652" s="22"/>
      <c r="D652" s="22"/>
      <c r="E652" s="22"/>
      <c r="F652" s="22"/>
      <c r="G652" s="22"/>
    </row>
    <row r="653">
      <c r="B653" s="22"/>
      <c r="C653" s="22"/>
      <c r="D653" s="22"/>
      <c r="E653" s="22"/>
      <c r="F653" s="22"/>
      <c r="G653" s="22"/>
    </row>
    <row r="654">
      <c r="B654" s="22"/>
      <c r="C654" s="22"/>
      <c r="D654" s="22"/>
      <c r="E654" s="22"/>
      <c r="F654" s="22"/>
      <c r="G654" s="22"/>
    </row>
    <row r="655">
      <c r="B655" s="22"/>
      <c r="C655" s="22"/>
      <c r="D655" s="22"/>
      <c r="E655" s="22"/>
      <c r="F655" s="22"/>
      <c r="G655" s="22"/>
    </row>
    <row r="656">
      <c r="B656" s="22"/>
      <c r="C656" s="22"/>
      <c r="D656" s="22"/>
      <c r="E656" s="22"/>
      <c r="F656" s="22"/>
      <c r="G656" s="22"/>
    </row>
    <row r="657">
      <c r="B657" s="22"/>
      <c r="C657" s="22"/>
      <c r="D657" s="22"/>
      <c r="E657" s="22"/>
      <c r="F657" s="22"/>
      <c r="G657" s="22"/>
    </row>
    <row r="658">
      <c r="B658" s="22"/>
      <c r="C658" s="22"/>
      <c r="D658" s="22"/>
      <c r="E658" s="22"/>
      <c r="F658" s="22"/>
      <c r="G658" s="22"/>
    </row>
    <row r="659">
      <c r="B659" s="22"/>
      <c r="C659" s="22"/>
      <c r="D659" s="22"/>
      <c r="E659" s="22"/>
      <c r="F659" s="22"/>
      <c r="G659" s="22"/>
    </row>
    <row r="660">
      <c r="B660" s="22"/>
      <c r="C660" s="22"/>
      <c r="D660" s="22"/>
      <c r="E660" s="22"/>
      <c r="F660" s="22"/>
      <c r="G660" s="22"/>
    </row>
    <row r="661">
      <c r="B661" s="22"/>
      <c r="C661" s="22"/>
      <c r="D661" s="22"/>
      <c r="E661" s="22"/>
      <c r="F661" s="22"/>
      <c r="G661" s="22"/>
    </row>
    <row r="662">
      <c r="B662" s="22"/>
      <c r="C662" s="22"/>
      <c r="D662" s="22"/>
      <c r="E662" s="22"/>
      <c r="F662" s="22"/>
      <c r="G662" s="22"/>
    </row>
    <row r="663">
      <c r="B663" s="22"/>
      <c r="C663" s="22"/>
      <c r="D663" s="22"/>
      <c r="E663" s="22"/>
      <c r="F663" s="22"/>
      <c r="G663" s="22"/>
    </row>
    <row r="664">
      <c r="B664" s="22"/>
      <c r="C664" s="22"/>
      <c r="D664" s="22"/>
      <c r="E664" s="22"/>
      <c r="F664" s="22"/>
      <c r="G664" s="22"/>
    </row>
    <row r="665">
      <c r="B665" s="22"/>
      <c r="C665" s="22"/>
      <c r="D665" s="22"/>
      <c r="E665" s="22"/>
      <c r="F665" s="22"/>
      <c r="G665" s="22"/>
    </row>
    <row r="666">
      <c r="B666" s="22"/>
      <c r="C666" s="22"/>
      <c r="D666" s="22"/>
      <c r="E666" s="22"/>
      <c r="F666" s="22"/>
      <c r="G666" s="22"/>
    </row>
    <row r="667">
      <c r="B667" s="22"/>
      <c r="C667" s="22"/>
      <c r="D667" s="22"/>
      <c r="E667" s="22"/>
      <c r="F667" s="22"/>
      <c r="G667" s="22"/>
    </row>
    <row r="668">
      <c r="B668" s="22"/>
      <c r="C668" s="22"/>
      <c r="D668" s="22"/>
      <c r="E668" s="22"/>
      <c r="F668" s="22"/>
      <c r="G668" s="22"/>
    </row>
    <row r="669">
      <c r="B669" s="22"/>
      <c r="C669" s="22"/>
      <c r="D669" s="22"/>
      <c r="E669" s="22"/>
      <c r="F669" s="22"/>
      <c r="G669" s="22"/>
    </row>
    <row r="670">
      <c r="B670" s="22"/>
      <c r="C670" s="22"/>
      <c r="D670" s="22"/>
      <c r="E670" s="22"/>
      <c r="F670" s="22"/>
      <c r="G670" s="22"/>
    </row>
    <row r="671">
      <c r="B671" s="22"/>
      <c r="C671" s="22"/>
      <c r="D671" s="22"/>
      <c r="E671" s="22"/>
      <c r="F671" s="22"/>
      <c r="G671" s="22"/>
    </row>
    <row r="672">
      <c r="B672" s="22"/>
      <c r="C672" s="22"/>
      <c r="D672" s="22"/>
      <c r="E672" s="22"/>
      <c r="F672" s="22"/>
      <c r="G672" s="22"/>
    </row>
    <row r="673">
      <c r="B673" s="22"/>
      <c r="C673" s="22"/>
      <c r="D673" s="22"/>
      <c r="E673" s="22"/>
      <c r="F673" s="22"/>
      <c r="G673" s="22"/>
    </row>
    <row r="674">
      <c r="B674" s="22"/>
      <c r="C674" s="22"/>
      <c r="D674" s="22"/>
      <c r="E674" s="22"/>
      <c r="F674" s="22"/>
      <c r="G674" s="22"/>
    </row>
    <row r="675">
      <c r="B675" s="22"/>
      <c r="C675" s="22"/>
      <c r="D675" s="22"/>
      <c r="E675" s="22"/>
      <c r="F675" s="22"/>
      <c r="G675" s="22"/>
    </row>
    <row r="676">
      <c r="B676" s="22"/>
      <c r="C676" s="22"/>
      <c r="D676" s="22"/>
      <c r="E676" s="22"/>
      <c r="F676" s="22"/>
      <c r="G676" s="22"/>
    </row>
    <row r="677">
      <c r="B677" s="22"/>
      <c r="C677" s="22"/>
      <c r="D677" s="22"/>
      <c r="E677" s="22"/>
      <c r="F677" s="22"/>
      <c r="G677" s="22"/>
    </row>
    <row r="678">
      <c r="B678" s="22"/>
      <c r="C678" s="22"/>
      <c r="D678" s="22"/>
      <c r="E678" s="22"/>
      <c r="F678" s="22"/>
      <c r="G678" s="22"/>
    </row>
    <row r="679">
      <c r="B679" s="22"/>
      <c r="C679" s="22"/>
      <c r="D679" s="22"/>
      <c r="E679" s="22"/>
      <c r="F679" s="22"/>
      <c r="G679" s="22"/>
    </row>
    <row r="680">
      <c r="B680" s="22"/>
      <c r="C680" s="22"/>
      <c r="D680" s="22"/>
      <c r="E680" s="22"/>
      <c r="F680" s="22"/>
      <c r="G680" s="22"/>
    </row>
    <row r="681">
      <c r="B681" s="22"/>
      <c r="C681" s="22"/>
      <c r="D681" s="22"/>
      <c r="E681" s="22"/>
      <c r="F681" s="22"/>
      <c r="G681" s="22"/>
    </row>
    <row r="682">
      <c r="B682" s="22"/>
      <c r="C682" s="22"/>
      <c r="D682" s="22"/>
      <c r="E682" s="22"/>
      <c r="F682" s="22"/>
      <c r="G682" s="22"/>
    </row>
    <row r="683">
      <c r="B683" s="22"/>
      <c r="C683" s="22"/>
      <c r="D683" s="22"/>
      <c r="E683" s="22"/>
      <c r="F683" s="22"/>
      <c r="G683" s="22"/>
    </row>
    <row r="684">
      <c r="B684" s="22"/>
      <c r="C684" s="22"/>
      <c r="D684" s="22"/>
      <c r="E684" s="22"/>
      <c r="F684" s="22"/>
      <c r="G684" s="22"/>
    </row>
    <row r="685">
      <c r="B685" s="22"/>
      <c r="C685" s="22"/>
      <c r="D685" s="22"/>
      <c r="E685" s="22"/>
      <c r="F685" s="22"/>
      <c r="G685" s="22"/>
    </row>
    <row r="686">
      <c r="B686" s="22"/>
      <c r="C686" s="22"/>
      <c r="D686" s="22"/>
      <c r="E686" s="22"/>
      <c r="F686" s="22"/>
      <c r="G686" s="22"/>
    </row>
    <row r="687">
      <c r="B687" s="22"/>
      <c r="C687" s="22"/>
      <c r="D687" s="22"/>
      <c r="E687" s="22"/>
      <c r="F687" s="22"/>
      <c r="G687" s="22"/>
    </row>
    <row r="688">
      <c r="B688" s="22"/>
      <c r="C688" s="22"/>
      <c r="D688" s="22"/>
      <c r="E688" s="22"/>
      <c r="F688" s="22"/>
      <c r="G688" s="22"/>
    </row>
    <row r="689">
      <c r="B689" s="22"/>
      <c r="C689" s="22"/>
      <c r="D689" s="22"/>
      <c r="E689" s="22"/>
      <c r="F689" s="22"/>
      <c r="G689" s="22"/>
    </row>
    <row r="690">
      <c r="B690" s="22"/>
      <c r="C690" s="22"/>
      <c r="D690" s="22"/>
      <c r="E690" s="22"/>
      <c r="F690" s="22"/>
      <c r="G690" s="22"/>
    </row>
    <row r="691">
      <c r="B691" s="22"/>
      <c r="C691" s="22"/>
      <c r="D691" s="22"/>
      <c r="E691" s="22"/>
      <c r="F691" s="22"/>
      <c r="G691" s="22"/>
    </row>
    <row r="692">
      <c r="B692" s="22"/>
      <c r="C692" s="22"/>
      <c r="D692" s="22"/>
      <c r="E692" s="22"/>
      <c r="F692" s="22"/>
      <c r="G692" s="22"/>
    </row>
    <row r="693">
      <c r="B693" s="22"/>
      <c r="C693" s="22"/>
      <c r="D693" s="22"/>
      <c r="E693" s="22"/>
      <c r="F693" s="22"/>
      <c r="G693" s="22"/>
    </row>
    <row r="694">
      <c r="B694" s="22"/>
      <c r="C694" s="22"/>
      <c r="D694" s="22"/>
      <c r="E694" s="22"/>
      <c r="F694" s="22"/>
      <c r="G694" s="22"/>
    </row>
    <row r="695">
      <c r="B695" s="22"/>
      <c r="C695" s="22"/>
      <c r="D695" s="22"/>
      <c r="E695" s="22"/>
      <c r="F695" s="22"/>
      <c r="G695" s="22"/>
    </row>
    <row r="696">
      <c r="B696" s="22"/>
      <c r="C696" s="22"/>
      <c r="D696" s="22"/>
      <c r="E696" s="22"/>
      <c r="F696" s="22"/>
      <c r="G696" s="22"/>
    </row>
    <row r="697">
      <c r="B697" s="22"/>
      <c r="C697" s="22"/>
      <c r="D697" s="22"/>
      <c r="E697" s="22"/>
      <c r="F697" s="22"/>
      <c r="G697" s="22"/>
    </row>
    <row r="698">
      <c r="B698" s="22"/>
      <c r="C698" s="22"/>
      <c r="D698" s="22"/>
      <c r="E698" s="22"/>
      <c r="F698" s="22"/>
      <c r="G698" s="22"/>
    </row>
    <row r="699">
      <c r="B699" s="22"/>
      <c r="C699" s="22"/>
      <c r="D699" s="22"/>
      <c r="E699" s="22"/>
      <c r="F699" s="22"/>
      <c r="G699" s="22"/>
    </row>
    <row r="700">
      <c r="B700" s="22"/>
      <c r="C700" s="22"/>
      <c r="D700" s="22"/>
      <c r="E700" s="22"/>
      <c r="F700" s="22"/>
      <c r="G700" s="22"/>
    </row>
    <row r="701">
      <c r="B701" s="22"/>
      <c r="C701" s="22"/>
      <c r="D701" s="22"/>
      <c r="E701" s="22"/>
      <c r="F701" s="22"/>
      <c r="G701" s="22"/>
    </row>
    <row r="702">
      <c r="B702" s="22"/>
      <c r="C702" s="22"/>
      <c r="D702" s="22"/>
      <c r="E702" s="22"/>
      <c r="F702" s="22"/>
      <c r="G702" s="22"/>
    </row>
    <row r="703">
      <c r="B703" s="22"/>
      <c r="C703" s="22"/>
      <c r="D703" s="22"/>
      <c r="E703" s="22"/>
      <c r="F703" s="22"/>
      <c r="G703" s="22"/>
    </row>
    <row r="704">
      <c r="B704" s="22"/>
      <c r="C704" s="22"/>
      <c r="D704" s="22"/>
      <c r="E704" s="22"/>
      <c r="F704" s="22"/>
      <c r="G704" s="22"/>
    </row>
    <row r="705">
      <c r="B705" s="22"/>
      <c r="C705" s="22"/>
      <c r="D705" s="22"/>
      <c r="E705" s="22"/>
      <c r="F705" s="22"/>
      <c r="G705" s="22"/>
    </row>
    <row r="706">
      <c r="B706" s="22"/>
      <c r="C706" s="22"/>
      <c r="D706" s="22"/>
      <c r="E706" s="22"/>
      <c r="F706" s="22"/>
      <c r="G706" s="22"/>
    </row>
    <row r="707">
      <c r="B707" s="22"/>
      <c r="C707" s="22"/>
      <c r="D707" s="22"/>
      <c r="E707" s="22"/>
      <c r="F707" s="22"/>
      <c r="G707" s="22"/>
    </row>
    <row r="708">
      <c r="B708" s="22"/>
      <c r="C708" s="22"/>
      <c r="D708" s="22"/>
      <c r="E708" s="22"/>
      <c r="F708" s="22"/>
      <c r="G708" s="22"/>
    </row>
    <row r="709">
      <c r="B709" s="22"/>
      <c r="C709" s="22"/>
      <c r="D709" s="22"/>
      <c r="E709" s="22"/>
      <c r="F709" s="22"/>
      <c r="G709" s="22"/>
    </row>
    <row r="710">
      <c r="B710" s="22"/>
      <c r="C710" s="22"/>
      <c r="D710" s="22"/>
      <c r="E710" s="22"/>
      <c r="F710" s="22"/>
      <c r="G710" s="22"/>
    </row>
    <row r="711">
      <c r="B711" s="22"/>
      <c r="C711" s="22"/>
      <c r="D711" s="22"/>
      <c r="E711" s="22"/>
      <c r="F711" s="22"/>
      <c r="G711" s="22"/>
    </row>
    <row r="712">
      <c r="B712" s="22"/>
      <c r="C712" s="22"/>
      <c r="D712" s="22"/>
      <c r="E712" s="22"/>
      <c r="F712" s="22"/>
      <c r="G712" s="22"/>
    </row>
    <row r="713">
      <c r="B713" s="22"/>
      <c r="C713" s="22"/>
      <c r="D713" s="22"/>
      <c r="E713" s="22"/>
      <c r="F713" s="22"/>
      <c r="G713" s="22"/>
    </row>
    <row r="714">
      <c r="B714" s="22"/>
      <c r="C714" s="22"/>
      <c r="D714" s="22"/>
      <c r="E714" s="22"/>
      <c r="F714" s="22"/>
      <c r="G714" s="22"/>
    </row>
    <row r="715">
      <c r="B715" s="22"/>
      <c r="C715" s="22"/>
      <c r="D715" s="22"/>
      <c r="E715" s="22"/>
      <c r="F715" s="22"/>
      <c r="G715" s="22"/>
    </row>
    <row r="716">
      <c r="B716" s="22"/>
      <c r="C716" s="22"/>
      <c r="D716" s="22"/>
      <c r="E716" s="22"/>
      <c r="F716" s="22"/>
      <c r="G716" s="22"/>
    </row>
    <row r="717">
      <c r="B717" s="22"/>
      <c r="C717" s="22"/>
      <c r="D717" s="22"/>
      <c r="E717" s="22"/>
      <c r="F717" s="22"/>
      <c r="G717" s="22"/>
    </row>
    <row r="718">
      <c r="B718" s="22"/>
      <c r="C718" s="22"/>
      <c r="D718" s="22"/>
      <c r="E718" s="22"/>
      <c r="F718" s="22"/>
      <c r="G718" s="22"/>
    </row>
    <row r="719">
      <c r="B719" s="22"/>
      <c r="C719" s="22"/>
      <c r="D719" s="22"/>
      <c r="E719" s="22"/>
      <c r="F719" s="22"/>
      <c r="G719" s="22"/>
    </row>
    <row r="720">
      <c r="B720" s="22"/>
      <c r="C720" s="22"/>
      <c r="D720" s="22"/>
      <c r="E720" s="22"/>
      <c r="F720" s="22"/>
      <c r="G720" s="22"/>
    </row>
    <row r="721">
      <c r="B721" s="22"/>
      <c r="C721" s="22"/>
      <c r="D721" s="22"/>
      <c r="E721" s="22"/>
      <c r="F721" s="22"/>
      <c r="G721" s="22"/>
    </row>
    <row r="722">
      <c r="B722" s="22"/>
      <c r="C722" s="22"/>
      <c r="D722" s="22"/>
      <c r="E722" s="22"/>
      <c r="F722" s="22"/>
      <c r="G722" s="22"/>
    </row>
    <row r="723">
      <c r="B723" s="22"/>
      <c r="C723" s="22"/>
      <c r="D723" s="22"/>
      <c r="E723" s="22"/>
      <c r="F723" s="22"/>
      <c r="G723" s="22"/>
    </row>
    <row r="724">
      <c r="B724" s="22"/>
      <c r="C724" s="22"/>
      <c r="D724" s="22"/>
      <c r="E724" s="22"/>
      <c r="F724" s="22"/>
      <c r="G724" s="22"/>
    </row>
    <row r="725">
      <c r="B725" s="22"/>
      <c r="C725" s="22"/>
      <c r="D725" s="22"/>
      <c r="E725" s="22"/>
      <c r="F725" s="22"/>
      <c r="G725" s="22"/>
    </row>
    <row r="726">
      <c r="B726" s="22"/>
      <c r="C726" s="22"/>
      <c r="D726" s="22"/>
      <c r="E726" s="22"/>
      <c r="F726" s="22"/>
      <c r="G726" s="22"/>
    </row>
    <row r="727">
      <c r="B727" s="22"/>
      <c r="C727" s="22"/>
      <c r="D727" s="22"/>
      <c r="E727" s="22"/>
      <c r="F727" s="22"/>
      <c r="G727" s="22"/>
    </row>
    <row r="728">
      <c r="B728" s="22"/>
      <c r="C728" s="22"/>
      <c r="D728" s="22"/>
      <c r="E728" s="22"/>
      <c r="F728" s="22"/>
      <c r="G728" s="22"/>
    </row>
    <row r="729">
      <c r="B729" s="22"/>
      <c r="C729" s="22"/>
      <c r="D729" s="22"/>
      <c r="E729" s="22"/>
      <c r="F729" s="22"/>
      <c r="G729" s="22"/>
    </row>
    <row r="730">
      <c r="B730" s="22"/>
      <c r="C730" s="22"/>
      <c r="D730" s="22"/>
      <c r="E730" s="22"/>
      <c r="F730" s="22"/>
      <c r="G730" s="22"/>
    </row>
    <row r="731">
      <c r="B731" s="22"/>
      <c r="C731" s="22"/>
      <c r="D731" s="22"/>
      <c r="E731" s="22"/>
      <c r="F731" s="22"/>
      <c r="G731" s="22"/>
    </row>
    <row r="732">
      <c r="B732" s="22"/>
      <c r="C732" s="22"/>
      <c r="D732" s="22"/>
      <c r="E732" s="22"/>
      <c r="F732" s="22"/>
      <c r="G732" s="22"/>
    </row>
    <row r="733">
      <c r="B733" s="22"/>
      <c r="C733" s="22"/>
      <c r="D733" s="22"/>
      <c r="E733" s="22"/>
      <c r="F733" s="22"/>
      <c r="G733" s="22"/>
    </row>
    <row r="734">
      <c r="B734" s="22"/>
      <c r="C734" s="22"/>
      <c r="D734" s="22"/>
      <c r="E734" s="22"/>
      <c r="F734" s="22"/>
      <c r="G734" s="22"/>
    </row>
    <row r="735">
      <c r="B735" s="22"/>
      <c r="C735" s="22"/>
      <c r="D735" s="22"/>
      <c r="E735" s="22"/>
      <c r="F735" s="22"/>
      <c r="G735" s="22"/>
    </row>
    <row r="736">
      <c r="B736" s="22"/>
      <c r="C736" s="22"/>
      <c r="D736" s="22"/>
      <c r="E736" s="22"/>
      <c r="F736" s="22"/>
      <c r="G736" s="22"/>
    </row>
    <row r="737">
      <c r="B737" s="22"/>
      <c r="C737" s="22"/>
      <c r="D737" s="22"/>
      <c r="E737" s="22"/>
      <c r="F737" s="22"/>
      <c r="G737" s="22"/>
    </row>
    <row r="738">
      <c r="B738" s="22"/>
      <c r="C738" s="22"/>
      <c r="D738" s="22"/>
      <c r="E738" s="22"/>
      <c r="F738" s="22"/>
      <c r="G738" s="22"/>
    </row>
    <row r="739">
      <c r="B739" s="22"/>
      <c r="C739" s="22"/>
      <c r="D739" s="22"/>
      <c r="E739" s="22"/>
      <c r="F739" s="22"/>
      <c r="G739" s="22"/>
    </row>
    <row r="740">
      <c r="B740" s="22"/>
      <c r="C740" s="22"/>
      <c r="D740" s="22"/>
      <c r="E740" s="22"/>
      <c r="F740" s="22"/>
      <c r="G740" s="22"/>
    </row>
    <row r="741">
      <c r="B741" s="22"/>
      <c r="C741" s="22"/>
      <c r="D741" s="22"/>
      <c r="E741" s="22"/>
      <c r="F741" s="22"/>
      <c r="G741" s="22"/>
    </row>
    <row r="742">
      <c r="B742" s="22"/>
      <c r="C742" s="22"/>
      <c r="D742" s="22"/>
      <c r="E742" s="22"/>
      <c r="F742" s="22"/>
      <c r="G742" s="22"/>
    </row>
    <row r="743">
      <c r="B743" s="22"/>
      <c r="C743" s="22"/>
      <c r="D743" s="22"/>
      <c r="E743" s="22"/>
      <c r="F743" s="22"/>
      <c r="G743" s="22"/>
    </row>
    <row r="744">
      <c r="B744" s="22"/>
      <c r="C744" s="22"/>
      <c r="D744" s="22"/>
      <c r="E744" s="22"/>
      <c r="F744" s="22"/>
      <c r="G744" s="22"/>
    </row>
    <row r="745">
      <c r="B745" s="22"/>
      <c r="C745" s="22"/>
      <c r="D745" s="22"/>
      <c r="E745" s="22"/>
      <c r="F745" s="22"/>
      <c r="G745" s="22"/>
    </row>
    <row r="746">
      <c r="B746" s="22"/>
      <c r="C746" s="22"/>
      <c r="D746" s="22"/>
      <c r="E746" s="22"/>
      <c r="F746" s="22"/>
      <c r="G746" s="22"/>
    </row>
    <row r="747">
      <c r="B747" s="22"/>
      <c r="C747" s="22"/>
      <c r="D747" s="22"/>
      <c r="E747" s="22"/>
      <c r="F747" s="22"/>
      <c r="G747" s="22"/>
    </row>
    <row r="748">
      <c r="B748" s="22"/>
      <c r="C748" s="22"/>
      <c r="D748" s="22"/>
      <c r="E748" s="22"/>
      <c r="F748" s="22"/>
      <c r="G748" s="22"/>
    </row>
    <row r="749">
      <c r="B749" s="22"/>
      <c r="C749" s="22"/>
      <c r="D749" s="22"/>
      <c r="E749" s="22"/>
      <c r="F749" s="22"/>
      <c r="G749" s="22"/>
    </row>
    <row r="750">
      <c r="B750" s="22"/>
      <c r="C750" s="22"/>
      <c r="D750" s="22"/>
      <c r="E750" s="22"/>
      <c r="F750" s="22"/>
      <c r="G750" s="22"/>
    </row>
    <row r="751">
      <c r="B751" s="22"/>
      <c r="C751" s="22"/>
      <c r="D751" s="22"/>
      <c r="E751" s="22"/>
      <c r="F751" s="22"/>
      <c r="G751" s="22"/>
    </row>
    <row r="752">
      <c r="B752" s="22"/>
      <c r="C752" s="22"/>
      <c r="D752" s="22"/>
      <c r="E752" s="22"/>
      <c r="F752" s="22"/>
      <c r="G752" s="22"/>
    </row>
    <row r="753">
      <c r="B753" s="22"/>
      <c r="C753" s="22"/>
      <c r="D753" s="22"/>
      <c r="E753" s="22"/>
      <c r="F753" s="22"/>
      <c r="G753" s="22"/>
    </row>
    <row r="754">
      <c r="B754" s="22"/>
      <c r="C754" s="22"/>
      <c r="D754" s="22"/>
      <c r="E754" s="22"/>
      <c r="F754" s="22"/>
      <c r="G754" s="22"/>
    </row>
    <row r="755">
      <c r="B755" s="22"/>
      <c r="C755" s="22"/>
      <c r="D755" s="22"/>
      <c r="E755" s="22"/>
      <c r="F755" s="22"/>
      <c r="G755" s="22"/>
    </row>
    <row r="756">
      <c r="B756" s="22"/>
      <c r="C756" s="22"/>
      <c r="D756" s="22"/>
      <c r="E756" s="22"/>
      <c r="F756" s="22"/>
      <c r="G756" s="22"/>
    </row>
    <row r="757">
      <c r="B757" s="22"/>
      <c r="C757" s="22"/>
      <c r="D757" s="22"/>
      <c r="E757" s="22"/>
      <c r="F757" s="22"/>
      <c r="G757" s="22"/>
    </row>
    <row r="758">
      <c r="B758" s="22"/>
      <c r="C758" s="22"/>
      <c r="D758" s="22"/>
      <c r="E758" s="22"/>
      <c r="F758" s="22"/>
      <c r="G758" s="22"/>
    </row>
    <row r="759">
      <c r="B759" s="22"/>
      <c r="C759" s="22"/>
      <c r="D759" s="22"/>
      <c r="E759" s="22"/>
      <c r="F759" s="22"/>
      <c r="G759" s="22"/>
    </row>
    <row r="760">
      <c r="B760" s="22"/>
      <c r="C760" s="22"/>
      <c r="D760" s="22"/>
      <c r="E760" s="22"/>
      <c r="F760" s="22"/>
      <c r="G760" s="22"/>
    </row>
    <row r="761">
      <c r="B761" s="22"/>
      <c r="C761" s="22"/>
      <c r="D761" s="22"/>
      <c r="E761" s="22"/>
      <c r="F761" s="22"/>
      <c r="G761" s="22"/>
    </row>
    <row r="762">
      <c r="B762" s="22"/>
      <c r="C762" s="22"/>
      <c r="D762" s="22"/>
      <c r="E762" s="22"/>
      <c r="F762" s="22"/>
      <c r="G762" s="22"/>
    </row>
    <row r="763">
      <c r="B763" s="22"/>
      <c r="C763" s="22"/>
      <c r="D763" s="22"/>
      <c r="E763" s="22"/>
      <c r="F763" s="22"/>
      <c r="G763" s="22"/>
    </row>
    <row r="764">
      <c r="B764" s="22"/>
      <c r="C764" s="22"/>
      <c r="D764" s="22"/>
      <c r="E764" s="22"/>
      <c r="F764" s="22"/>
      <c r="G764" s="22"/>
    </row>
    <row r="765">
      <c r="B765" s="22"/>
      <c r="C765" s="22"/>
      <c r="D765" s="22"/>
      <c r="E765" s="22"/>
      <c r="F765" s="22"/>
      <c r="G765" s="22"/>
    </row>
    <row r="766">
      <c r="B766" s="22"/>
      <c r="C766" s="22"/>
      <c r="D766" s="22"/>
      <c r="E766" s="22"/>
      <c r="F766" s="22"/>
      <c r="G766" s="22"/>
    </row>
    <row r="767">
      <c r="B767" s="22"/>
      <c r="C767" s="22"/>
      <c r="D767" s="22"/>
      <c r="E767" s="22"/>
      <c r="F767" s="22"/>
      <c r="G767" s="22"/>
    </row>
    <row r="768">
      <c r="B768" s="22"/>
      <c r="C768" s="22"/>
      <c r="D768" s="22"/>
      <c r="E768" s="22"/>
      <c r="F768" s="22"/>
      <c r="G768" s="22"/>
    </row>
    <row r="769">
      <c r="B769" s="22"/>
      <c r="C769" s="22"/>
      <c r="D769" s="22"/>
      <c r="E769" s="22"/>
      <c r="F769" s="22"/>
      <c r="G769" s="22"/>
    </row>
    <row r="770">
      <c r="B770" s="22"/>
      <c r="C770" s="22"/>
      <c r="D770" s="22"/>
      <c r="E770" s="22"/>
      <c r="F770" s="22"/>
      <c r="G770" s="22"/>
    </row>
    <row r="771">
      <c r="B771" s="22"/>
      <c r="C771" s="22"/>
      <c r="D771" s="22"/>
      <c r="E771" s="22"/>
      <c r="F771" s="22"/>
      <c r="G771" s="22"/>
    </row>
    <row r="772">
      <c r="B772" s="22"/>
      <c r="C772" s="22"/>
      <c r="D772" s="22"/>
      <c r="E772" s="22"/>
      <c r="F772" s="22"/>
      <c r="G772" s="22"/>
    </row>
    <row r="773">
      <c r="B773" s="22"/>
      <c r="C773" s="22"/>
      <c r="D773" s="22"/>
      <c r="E773" s="22"/>
      <c r="F773" s="22"/>
      <c r="G773" s="22"/>
    </row>
    <row r="774">
      <c r="B774" s="22"/>
      <c r="C774" s="22"/>
      <c r="D774" s="22"/>
      <c r="E774" s="22"/>
      <c r="F774" s="22"/>
      <c r="G774" s="22"/>
    </row>
    <row r="775">
      <c r="B775" s="22"/>
      <c r="C775" s="22"/>
      <c r="D775" s="22"/>
      <c r="E775" s="22"/>
      <c r="F775" s="22"/>
      <c r="G775" s="22"/>
    </row>
    <row r="776">
      <c r="B776" s="22"/>
      <c r="C776" s="22"/>
      <c r="D776" s="22"/>
      <c r="E776" s="22"/>
      <c r="F776" s="22"/>
      <c r="G776" s="22"/>
    </row>
    <row r="777">
      <c r="B777" s="22"/>
      <c r="C777" s="22"/>
      <c r="D777" s="22"/>
      <c r="E777" s="22"/>
      <c r="F777" s="22"/>
      <c r="G777" s="22"/>
    </row>
    <row r="778">
      <c r="B778" s="22"/>
      <c r="C778" s="22"/>
      <c r="D778" s="22"/>
      <c r="E778" s="22"/>
      <c r="F778" s="22"/>
      <c r="G778" s="22"/>
    </row>
    <row r="779">
      <c r="B779" s="22"/>
      <c r="C779" s="22"/>
      <c r="D779" s="22"/>
      <c r="E779" s="22"/>
      <c r="F779" s="22"/>
      <c r="G779" s="22"/>
    </row>
    <row r="780">
      <c r="B780" s="22"/>
      <c r="C780" s="22"/>
      <c r="D780" s="22"/>
      <c r="E780" s="22"/>
      <c r="F780" s="22"/>
      <c r="G780" s="22"/>
    </row>
    <row r="781">
      <c r="B781" s="22"/>
      <c r="C781" s="22"/>
      <c r="D781" s="22"/>
      <c r="E781" s="22"/>
      <c r="F781" s="22"/>
      <c r="G781" s="22"/>
    </row>
    <row r="782">
      <c r="B782" s="22"/>
      <c r="C782" s="22"/>
      <c r="D782" s="22"/>
      <c r="E782" s="22"/>
      <c r="F782" s="22"/>
      <c r="G782" s="22"/>
    </row>
    <row r="783">
      <c r="B783" s="22"/>
      <c r="C783" s="22"/>
      <c r="D783" s="22"/>
      <c r="E783" s="22"/>
      <c r="F783" s="22"/>
      <c r="G783" s="22"/>
    </row>
    <row r="784">
      <c r="B784" s="22"/>
      <c r="C784" s="22"/>
      <c r="D784" s="22"/>
      <c r="E784" s="22"/>
      <c r="F784" s="22"/>
      <c r="G784" s="22"/>
    </row>
    <row r="785">
      <c r="B785" s="22"/>
      <c r="C785" s="22"/>
      <c r="D785" s="22"/>
      <c r="E785" s="22"/>
      <c r="F785" s="22"/>
      <c r="G785" s="22"/>
    </row>
    <row r="786">
      <c r="B786" s="22"/>
      <c r="C786" s="22"/>
      <c r="D786" s="22"/>
      <c r="E786" s="22"/>
      <c r="F786" s="22"/>
      <c r="G786" s="22"/>
    </row>
    <row r="787">
      <c r="B787" s="22"/>
      <c r="C787" s="22"/>
      <c r="D787" s="22"/>
      <c r="E787" s="22"/>
      <c r="F787" s="22"/>
      <c r="G787" s="22"/>
    </row>
    <row r="788">
      <c r="B788" s="22"/>
      <c r="C788" s="22"/>
      <c r="D788" s="22"/>
      <c r="E788" s="22"/>
      <c r="F788" s="22"/>
      <c r="G788" s="22"/>
    </row>
    <row r="789">
      <c r="B789" s="22"/>
      <c r="C789" s="22"/>
      <c r="D789" s="22"/>
      <c r="E789" s="22"/>
      <c r="F789" s="22"/>
      <c r="G789" s="22"/>
    </row>
    <row r="790">
      <c r="B790" s="22"/>
      <c r="C790" s="22"/>
      <c r="D790" s="22"/>
      <c r="E790" s="22"/>
      <c r="F790" s="22"/>
      <c r="G790" s="22"/>
    </row>
    <row r="791">
      <c r="B791" s="22"/>
      <c r="C791" s="22"/>
      <c r="D791" s="22"/>
      <c r="E791" s="22"/>
      <c r="F791" s="22"/>
      <c r="G791" s="22"/>
    </row>
    <row r="792">
      <c r="B792" s="22"/>
      <c r="C792" s="22"/>
      <c r="D792" s="22"/>
      <c r="E792" s="22"/>
      <c r="F792" s="22"/>
      <c r="G792" s="22"/>
    </row>
    <row r="793">
      <c r="B793" s="22"/>
      <c r="C793" s="22"/>
      <c r="D793" s="22"/>
      <c r="E793" s="22"/>
      <c r="F793" s="22"/>
      <c r="G793" s="22"/>
    </row>
    <row r="794">
      <c r="B794" s="22"/>
      <c r="C794" s="22"/>
      <c r="D794" s="22"/>
      <c r="E794" s="22"/>
      <c r="F794" s="22"/>
      <c r="G794" s="22"/>
    </row>
    <row r="795">
      <c r="B795" s="22"/>
      <c r="C795" s="22"/>
      <c r="D795" s="22"/>
      <c r="E795" s="22"/>
      <c r="F795" s="22"/>
      <c r="G795" s="22"/>
    </row>
    <row r="796">
      <c r="B796" s="22"/>
      <c r="C796" s="22"/>
      <c r="D796" s="22"/>
      <c r="E796" s="22"/>
      <c r="F796" s="22"/>
      <c r="G796" s="22"/>
    </row>
    <row r="797">
      <c r="B797" s="22"/>
      <c r="C797" s="22"/>
      <c r="D797" s="22"/>
      <c r="E797" s="22"/>
      <c r="F797" s="22"/>
      <c r="G797" s="22"/>
    </row>
    <row r="798">
      <c r="B798" s="22"/>
      <c r="C798" s="22"/>
      <c r="D798" s="22"/>
      <c r="E798" s="22"/>
      <c r="F798" s="22"/>
      <c r="G798" s="22"/>
    </row>
    <row r="799">
      <c r="B799" s="22"/>
      <c r="C799" s="22"/>
      <c r="D799" s="22"/>
      <c r="E799" s="22"/>
      <c r="F799" s="22"/>
      <c r="G799" s="22"/>
    </row>
    <row r="800">
      <c r="B800" s="22"/>
      <c r="C800" s="22"/>
      <c r="D800" s="22"/>
      <c r="E800" s="22"/>
      <c r="F800" s="22"/>
      <c r="G800" s="22"/>
    </row>
    <row r="801">
      <c r="B801" s="22"/>
      <c r="C801" s="22"/>
      <c r="D801" s="22"/>
      <c r="E801" s="22"/>
      <c r="F801" s="22"/>
      <c r="G801" s="22"/>
    </row>
    <row r="802">
      <c r="B802" s="22"/>
      <c r="C802" s="22"/>
      <c r="D802" s="22"/>
      <c r="E802" s="22"/>
      <c r="F802" s="22"/>
      <c r="G802" s="22"/>
    </row>
    <row r="803">
      <c r="B803" s="22"/>
      <c r="C803" s="22"/>
      <c r="D803" s="22"/>
      <c r="E803" s="22"/>
      <c r="F803" s="22"/>
      <c r="G803" s="22"/>
    </row>
    <row r="804">
      <c r="B804" s="22"/>
      <c r="C804" s="22"/>
      <c r="D804" s="22"/>
      <c r="E804" s="22"/>
      <c r="F804" s="22"/>
      <c r="G804" s="22"/>
    </row>
    <row r="805">
      <c r="B805" s="22"/>
      <c r="C805" s="22"/>
      <c r="D805" s="22"/>
      <c r="E805" s="22"/>
      <c r="F805" s="22"/>
      <c r="G805" s="22"/>
    </row>
    <row r="806">
      <c r="B806" s="22"/>
      <c r="C806" s="22"/>
      <c r="D806" s="22"/>
      <c r="E806" s="22"/>
      <c r="F806" s="22"/>
      <c r="G806" s="22"/>
    </row>
    <row r="807">
      <c r="B807" s="22"/>
      <c r="C807" s="22"/>
      <c r="D807" s="22"/>
      <c r="E807" s="22"/>
      <c r="F807" s="22"/>
      <c r="G807" s="22"/>
    </row>
    <row r="808">
      <c r="B808" s="22"/>
      <c r="C808" s="22"/>
      <c r="D808" s="22"/>
      <c r="E808" s="22"/>
      <c r="F808" s="22"/>
      <c r="G808" s="22"/>
    </row>
    <row r="809">
      <c r="B809" s="22"/>
      <c r="C809" s="22"/>
      <c r="D809" s="22"/>
      <c r="E809" s="22"/>
      <c r="F809" s="22"/>
      <c r="G809" s="22"/>
    </row>
    <row r="810">
      <c r="B810" s="22"/>
      <c r="C810" s="22"/>
      <c r="D810" s="22"/>
      <c r="E810" s="22"/>
      <c r="F810" s="22"/>
      <c r="G810" s="22"/>
    </row>
    <row r="811">
      <c r="B811" s="22"/>
      <c r="C811" s="22"/>
      <c r="D811" s="22"/>
      <c r="E811" s="22"/>
      <c r="F811" s="22"/>
      <c r="G811" s="22"/>
    </row>
    <row r="812">
      <c r="B812" s="22"/>
      <c r="C812" s="22"/>
      <c r="D812" s="22"/>
      <c r="E812" s="22"/>
      <c r="F812" s="22"/>
      <c r="G812" s="22"/>
    </row>
    <row r="813">
      <c r="B813" s="22"/>
      <c r="C813" s="22"/>
      <c r="D813" s="22"/>
      <c r="E813" s="22"/>
      <c r="F813" s="22"/>
      <c r="G813" s="22"/>
    </row>
    <row r="814">
      <c r="B814" s="22"/>
      <c r="C814" s="22"/>
      <c r="D814" s="22"/>
      <c r="E814" s="22"/>
      <c r="F814" s="22"/>
      <c r="G814" s="22"/>
    </row>
    <row r="815">
      <c r="B815" s="22"/>
      <c r="C815" s="22"/>
      <c r="D815" s="22"/>
      <c r="E815" s="22"/>
      <c r="F815" s="22"/>
      <c r="G815" s="22"/>
    </row>
    <row r="816">
      <c r="B816" s="22"/>
      <c r="C816" s="22"/>
      <c r="D816" s="22"/>
      <c r="E816" s="22"/>
      <c r="F816" s="22"/>
      <c r="G816" s="22"/>
    </row>
    <row r="817">
      <c r="B817" s="22"/>
      <c r="C817" s="22"/>
      <c r="D817" s="22"/>
      <c r="E817" s="22"/>
      <c r="F817" s="22"/>
      <c r="G817" s="22"/>
    </row>
    <row r="818">
      <c r="B818" s="22"/>
      <c r="C818" s="22"/>
      <c r="D818" s="22"/>
      <c r="E818" s="22"/>
      <c r="F818" s="22"/>
      <c r="G818" s="22"/>
    </row>
    <row r="819">
      <c r="B819" s="22"/>
      <c r="C819" s="22"/>
      <c r="D819" s="22"/>
      <c r="E819" s="22"/>
      <c r="F819" s="22"/>
      <c r="G819" s="22"/>
    </row>
    <row r="820">
      <c r="B820" s="22"/>
      <c r="C820" s="22"/>
      <c r="D820" s="22"/>
      <c r="E820" s="22"/>
      <c r="F820" s="22"/>
      <c r="G820" s="22"/>
    </row>
    <row r="821">
      <c r="B821" s="22"/>
      <c r="C821" s="22"/>
      <c r="D821" s="22"/>
      <c r="E821" s="22"/>
      <c r="F821" s="22"/>
      <c r="G821" s="22"/>
    </row>
    <row r="822">
      <c r="B822" s="22"/>
      <c r="C822" s="22"/>
      <c r="D822" s="22"/>
      <c r="E822" s="22"/>
      <c r="F822" s="22"/>
      <c r="G822" s="22"/>
    </row>
    <row r="823">
      <c r="B823" s="22"/>
      <c r="C823" s="22"/>
      <c r="D823" s="22"/>
      <c r="E823" s="22"/>
      <c r="F823" s="22"/>
      <c r="G823" s="22"/>
    </row>
    <row r="824">
      <c r="B824" s="22"/>
      <c r="C824" s="22"/>
      <c r="D824" s="22"/>
      <c r="E824" s="22"/>
      <c r="F824" s="22"/>
      <c r="G824" s="22"/>
    </row>
    <row r="825">
      <c r="B825" s="22"/>
      <c r="C825" s="22"/>
      <c r="D825" s="22"/>
      <c r="E825" s="22"/>
      <c r="F825" s="22"/>
      <c r="G825" s="22"/>
    </row>
    <row r="826">
      <c r="B826" s="22"/>
      <c r="C826" s="22"/>
      <c r="D826" s="22"/>
      <c r="E826" s="22"/>
      <c r="F826" s="22"/>
      <c r="G826" s="22"/>
    </row>
    <row r="827">
      <c r="B827" s="22"/>
      <c r="C827" s="22"/>
      <c r="D827" s="22"/>
      <c r="E827" s="22"/>
      <c r="F827" s="22"/>
      <c r="G827" s="22"/>
    </row>
    <row r="828">
      <c r="B828" s="22"/>
      <c r="C828" s="22"/>
      <c r="D828" s="22"/>
      <c r="E828" s="22"/>
      <c r="F828" s="22"/>
      <c r="G828" s="22"/>
    </row>
    <row r="829">
      <c r="B829" s="22"/>
      <c r="C829" s="22"/>
      <c r="D829" s="22"/>
      <c r="E829" s="22"/>
      <c r="F829" s="22"/>
      <c r="G829" s="22"/>
    </row>
    <row r="830">
      <c r="B830" s="22"/>
      <c r="C830" s="22"/>
      <c r="D830" s="22"/>
      <c r="E830" s="22"/>
      <c r="F830" s="22"/>
      <c r="G830" s="22"/>
    </row>
    <row r="831">
      <c r="B831" s="22"/>
      <c r="C831" s="22"/>
      <c r="D831" s="22"/>
      <c r="E831" s="22"/>
      <c r="F831" s="22"/>
      <c r="G831" s="22"/>
    </row>
    <row r="832">
      <c r="B832" s="22"/>
      <c r="C832" s="22"/>
      <c r="D832" s="22"/>
      <c r="E832" s="22"/>
      <c r="F832" s="22"/>
      <c r="G832" s="22"/>
    </row>
    <row r="833">
      <c r="B833" s="22"/>
      <c r="C833" s="22"/>
      <c r="D833" s="22"/>
      <c r="E833" s="22"/>
      <c r="F833" s="22"/>
      <c r="G833" s="22"/>
    </row>
    <row r="834">
      <c r="B834" s="22"/>
      <c r="C834" s="22"/>
      <c r="D834" s="22"/>
      <c r="E834" s="22"/>
      <c r="F834" s="22"/>
      <c r="G834" s="22"/>
    </row>
    <row r="835">
      <c r="B835" s="22"/>
      <c r="C835" s="22"/>
      <c r="D835" s="22"/>
      <c r="E835" s="22"/>
      <c r="F835" s="22"/>
      <c r="G835" s="22"/>
    </row>
    <row r="836">
      <c r="B836" s="22"/>
      <c r="C836" s="22"/>
      <c r="D836" s="22"/>
      <c r="E836" s="22"/>
      <c r="F836" s="22"/>
      <c r="G836" s="22"/>
    </row>
    <row r="837">
      <c r="B837" s="22"/>
      <c r="C837" s="22"/>
      <c r="D837" s="22"/>
      <c r="E837" s="22"/>
      <c r="F837" s="22"/>
      <c r="G837" s="22"/>
    </row>
    <row r="838">
      <c r="B838" s="22"/>
      <c r="C838" s="22"/>
      <c r="D838" s="22"/>
      <c r="E838" s="22"/>
      <c r="F838" s="22"/>
      <c r="G838" s="22"/>
    </row>
    <row r="839">
      <c r="B839" s="22"/>
      <c r="C839" s="22"/>
      <c r="D839" s="22"/>
      <c r="E839" s="22"/>
      <c r="F839" s="22"/>
      <c r="G839" s="22"/>
    </row>
    <row r="840">
      <c r="B840" s="22"/>
      <c r="C840" s="22"/>
      <c r="D840" s="22"/>
      <c r="E840" s="22"/>
      <c r="F840" s="22"/>
      <c r="G840" s="22"/>
    </row>
    <row r="841">
      <c r="B841" s="22"/>
      <c r="C841" s="22"/>
      <c r="D841" s="22"/>
      <c r="E841" s="22"/>
      <c r="F841" s="22"/>
      <c r="G841" s="22"/>
    </row>
    <row r="842">
      <c r="B842" s="22"/>
      <c r="C842" s="22"/>
      <c r="D842" s="22"/>
      <c r="E842" s="22"/>
      <c r="F842" s="22"/>
      <c r="G842" s="22"/>
    </row>
    <row r="843">
      <c r="B843" s="22"/>
      <c r="C843" s="22"/>
      <c r="D843" s="22"/>
      <c r="E843" s="22"/>
      <c r="F843" s="22"/>
      <c r="G843" s="22"/>
    </row>
    <row r="844">
      <c r="B844" s="22"/>
      <c r="C844" s="22"/>
      <c r="D844" s="22"/>
      <c r="E844" s="22"/>
      <c r="F844" s="22"/>
      <c r="G844" s="22"/>
    </row>
    <row r="845">
      <c r="B845" s="22"/>
      <c r="C845" s="22"/>
      <c r="D845" s="22"/>
      <c r="E845" s="22"/>
      <c r="F845" s="22"/>
      <c r="G845" s="22"/>
    </row>
    <row r="846">
      <c r="B846" s="22"/>
      <c r="C846" s="22"/>
      <c r="D846" s="22"/>
      <c r="E846" s="22"/>
      <c r="F846" s="22"/>
      <c r="G846" s="22"/>
    </row>
    <row r="847">
      <c r="B847" s="22"/>
      <c r="C847" s="22"/>
      <c r="D847" s="22"/>
      <c r="E847" s="22"/>
      <c r="F847" s="22"/>
      <c r="G847" s="22"/>
    </row>
    <row r="848">
      <c r="B848" s="22"/>
      <c r="C848" s="22"/>
      <c r="D848" s="22"/>
      <c r="E848" s="22"/>
      <c r="F848" s="22"/>
      <c r="G848" s="22"/>
    </row>
    <row r="849">
      <c r="B849" s="22"/>
      <c r="C849" s="22"/>
      <c r="D849" s="22"/>
      <c r="E849" s="22"/>
      <c r="F849" s="22"/>
      <c r="G849" s="22"/>
    </row>
    <row r="850">
      <c r="B850" s="22"/>
      <c r="C850" s="22"/>
      <c r="D850" s="22"/>
      <c r="E850" s="22"/>
      <c r="F850" s="22"/>
      <c r="G850" s="22"/>
    </row>
    <row r="851">
      <c r="B851" s="22"/>
      <c r="C851" s="22"/>
      <c r="D851" s="22"/>
      <c r="E851" s="22"/>
      <c r="F851" s="22"/>
      <c r="G851" s="22"/>
    </row>
    <row r="852">
      <c r="B852" s="22"/>
      <c r="C852" s="22"/>
      <c r="D852" s="22"/>
      <c r="E852" s="22"/>
      <c r="F852" s="22"/>
      <c r="G852" s="22"/>
    </row>
    <row r="853">
      <c r="B853" s="22"/>
      <c r="C853" s="22"/>
      <c r="D853" s="22"/>
      <c r="E853" s="22"/>
      <c r="F853" s="22"/>
      <c r="G853" s="22"/>
    </row>
    <row r="854">
      <c r="B854" s="22"/>
      <c r="C854" s="22"/>
      <c r="D854" s="22"/>
      <c r="E854" s="22"/>
      <c r="F854" s="22"/>
      <c r="G854" s="22"/>
    </row>
    <row r="855">
      <c r="B855" s="22"/>
      <c r="C855" s="22"/>
      <c r="D855" s="22"/>
      <c r="E855" s="22"/>
      <c r="F855" s="22"/>
      <c r="G855" s="22"/>
    </row>
    <row r="856">
      <c r="B856" s="22"/>
      <c r="C856" s="22"/>
      <c r="D856" s="22"/>
      <c r="E856" s="22"/>
      <c r="F856" s="22"/>
      <c r="G856" s="22"/>
    </row>
    <row r="857">
      <c r="B857" s="22"/>
      <c r="C857" s="22"/>
      <c r="D857" s="22"/>
      <c r="E857" s="22"/>
      <c r="F857" s="22"/>
      <c r="G857" s="22"/>
    </row>
    <row r="858">
      <c r="B858" s="22"/>
      <c r="C858" s="22"/>
      <c r="D858" s="22"/>
      <c r="E858" s="22"/>
      <c r="F858" s="22"/>
      <c r="G858" s="22"/>
    </row>
    <row r="859">
      <c r="B859" s="22"/>
      <c r="C859" s="22"/>
      <c r="D859" s="22"/>
      <c r="E859" s="22"/>
      <c r="F859" s="22"/>
      <c r="G859" s="22"/>
    </row>
    <row r="860">
      <c r="B860" s="22"/>
      <c r="C860" s="22"/>
      <c r="D860" s="22"/>
      <c r="E860" s="22"/>
      <c r="F860" s="22"/>
      <c r="G860" s="22"/>
    </row>
    <row r="861">
      <c r="B861" s="22"/>
      <c r="C861" s="22"/>
      <c r="D861" s="22"/>
      <c r="E861" s="22"/>
      <c r="F861" s="22"/>
      <c r="G861" s="22"/>
    </row>
    <row r="862">
      <c r="B862" s="22"/>
      <c r="C862" s="22"/>
      <c r="D862" s="22"/>
      <c r="E862" s="22"/>
      <c r="F862" s="22"/>
      <c r="G862" s="22"/>
    </row>
    <row r="863">
      <c r="B863" s="22"/>
      <c r="C863" s="22"/>
      <c r="D863" s="22"/>
      <c r="E863" s="22"/>
      <c r="F863" s="22"/>
      <c r="G863" s="22"/>
    </row>
    <row r="864">
      <c r="B864" s="22"/>
      <c r="C864" s="22"/>
      <c r="D864" s="22"/>
      <c r="E864" s="22"/>
      <c r="F864" s="22"/>
      <c r="G864" s="22"/>
    </row>
    <row r="865">
      <c r="B865" s="22"/>
      <c r="C865" s="22"/>
      <c r="D865" s="22"/>
      <c r="E865" s="22"/>
      <c r="F865" s="22"/>
      <c r="G865" s="22"/>
    </row>
    <row r="866">
      <c r="B866" s="22"/>
      <c r="C866" s="22"/>
      <c r="D866" s="22"/>
      <c r="E866" s="22"/>
      <c r="F866" s="22"/>
      <c r="G866" s="22"/>
    </row>
    <row r="867">
      <c r="B867" s="22"/>
      <c r="C867" s="22"/>
      <c r="D867" s="22"/>
      <c r="E867" s="22"/>
      <c r="F867" s="22"/>
      <c r="G867" s="22"/>
    </row>
    <row r="868">
      <c r="B868" s="22"/>
      <c r="C868" s="22"/>
      <c r="D868" s="22"/>
      <c r="E868" s="22"/>
      <c r="F868" s="22"/>
      <c r="G868" s="22"/>
    </row>
    <row r="869">
      <c r="B869" s="22"/>
      <c r="C869" s="22"/>
      <c r="D869" s="22"/>
      <c r="E869" s="22"/>
      <c r="F869" s="22"/>
      <c r="G869" s="22"/>
    </row>
    <row r="870">
      <c r="B870" s="22"/>
      <c r="C870" s="22"/>
      <c r="D870" s="22"/>
      <c r="E870" s="22"/>
      <c r="F870" s="22"/>
      <c r="G870" s="22"/>
    </row>
    <row r="871">
      <c r="B871" s="22"/>
      <c r="C871" s="22"/>
      <c r="D871" s="22"/>
      <c r="E871" s="22"/>
      <c r="F871" s="22"/>
      <c r="G871" s="22"/>
    </row>
    <row r="872">
      <c r="B872" s="22"/>
      <c r="C872" s="22"/>
      <c r="D872" s="22"/>
      <c r="E872" s="22"/>
      <c r="F872" s="22"/>
      <c r="G872" s="22"/>
    </row>
    <row r="873">
      <c r="B873" s="22"/>
      <c r="C873" s="22"/>
      <c r="D873" s="22"/>
      <c r="E873" s="22"/>
      <c r="F873" s="22"/>
      <c r="G873" s="22"/>
    </row>
    <row r="874">
      <c r="B874" s="22"/>
      <c r="C874" s="22"/>
      <c r="D874" s="22"/>
      <c r="E874" s="22"/>
      <c r="F874" s="22"/>
      <c r="G874" s="22"/>
    </row>
    <row r="875">
      <c r="B875" s="22"/>
      <c r="C875" s="22"/>
      <c r="D875" s="22"/>
      <c r="E875" s="22"/>
      <c r="F875" s="22"/>
      <c r="G875" s="22"/>
    </row>
    <row r="876">
      <c r="B876" s="22"/>
      <c r="C876" s="22"/>
      <c r="D876" s="22"/>
      <c r="E876" s="22"/>
      <c r="F876" s="22"/>
      <c r="G876" s="22"/>
    </row>
    <row r="877">
      <c r="B877" s="22"/>
      <c r="C877" s="22"/>
      <c r="D877" s="22"/>
      <c r="E877" s="22"/>
      <c r="F877" s="22"/>
      <c r="G877" s="22"/>
    </row>
    <row r="878">
      <c r="B878" s="22"/>
      <c r="C878" s="22"/>
      <c r="D878" s="22"/>
      <c r="E878" s="22"/>
      <c r="F878" s="22"/>
      <c r="G878" s="22"/>
    </row>
    <row r="879">
      <c r="B879" s="22"/>
      <c r="C879" s="22"/>
      <c r="D879" s="22"/>
      <c r="E879" s="22"/>
      <c r="F879" s="22"/>
      <c r="G879" s="22"/>
    </row>
    <row r="880">
      <c r="B880" s="22"/>
      <c r="C880" s="22"/>
      <c r="D880" s="22"/>
      <c r="E880" s="22"/>
      <c r="F880" s="22"/>
      <c r="G880" s="22"/>
    </row>
    <row r="881">
      <c r="B881" s="22"/>
      <c r="C881" s="22"/>
      <c r="D881" s="22"/>
      <c r="E881" s="22"/>
      <c r="F881" s="22"/>
      <c r="G881" s="22"/>
    </row>
    <row r="882">
      <c r="B882" s="22"/>
      <c r="C882" s="22"/>
      <c r="D882" s="22"/>
      <c r="E882" s="22"/>
      <c r="F882" s="22"/>
      <c r="G882" s="22"/>
    </row>
    <row r="883">
      <c r="B883" s="22"/>
      <c r="C883" s="22"/>
      <c r="D883" s="22"/>
      <c r="E883" s="22"/>
      <c r="F883" s="22"/>
      <c r="G883" s="22"/>
    </row>
    <row r="884">
      <c r="B884" s="22"/>
      <c r="C884" s="22"/>
      <c r="D884" s="22"/>
      <c r="E884" s="22"/>
      <c r="F884" s="22"/>
      <c r="G884" s="22"/>
    </row>
    <row r="885">
      <c r="B885" s="22"/>
      <c r="C885" s="22"/>
      <c r="D885" s="22"/>
      <c r="E885" s="22"/>
      <c r="F885" s="22"/>
      <c r="G885" s="22"/>
    </row>
    <row r="886">
      <c r="B886" s="22"/>
      <c r="C886" s="22"/>
      <c r="D886" s="22"/>
      <c r="E886" s="22"/>
      <c r="F886" s="22"/>
      <c r="G886" s="22"/>
    </row>
    <row r="887">
      <c r="B887" s="22"/>
      <c r="C887" s="22"/>
      <c r="D887" s="22"/>
      <c r="E887" s="22"/>
      <c r="F887" s="22"/>
      <c r="G887" s="22"/>
    </row>
    <row r="888">
      <c r="B888" s="22"/>
      <c r="C888" s="22"/>
      <c r="D888" s="22"/>
      <c r="E888" s="22"/>
      <c r="F888" s="22"/>
      <c r="G888" s="22"/>
    </row>
    <row r="889">
      <c r="B889" s="22"/>
      <c r="C889" s="22"/>
      <c r="D889" s="22"/>
      <c r="E889" s="22"/>
      <c r="F889" s="22"/>
      <c r="G889" s="22"/>
    </row>
    <row r="890">
      <c r="B890" s="22"/>
      <c r="C890" s="22"/>
      <c r="D890" s="22"/>
      <c r="E890" s="22"/>
      <c r="F890" s="22"/>
      <c r="G890" s="22"/>
    </row>
    <row r="891">
      <c r="B891" s="22"/>
      <c r="C891" s="22"/>
      <c r="D891" s="22"/>
      <c r="E891" s="22"/>
      <c r="F891" s="22"/>
      <c r="G891" s="22"/>
    </row>
    <row r="892">
      <c r="B892" s="22"/>
      <c r="C892" s="22"/>
      <c r="D892" s="22"/>
      <c r="E892" s="22"/>
      <c r="F892" s="22"/>
      <c r="G892" s="22"/>
    </row>
    <row r="893">
      <c r="B893" s="22"/>
      <c r="C893" s="22"/>
      <c r="D893" s="22"/>
      <c r="E893" s="22"/>
      <c r="F893" s="22"/>
      <c r="G893" s="22"/>
    </row>
    <row r="894">
      <c r="B894" s="22"/>
      <c r="C894" s="22"/>
      <c r="D894" s="22"/>
      <c r="E894" s="22"/>
      <c r="F894" s="22"/>
      <c r="G894" s="22"/>
    </row>
    <row r="895">
      <c r="B895" s="22"/>
      <c r="C895" s="22"/>
      <c r="D895" s="22"/>
      <c r="E895" s="22"/>
      <c r="F895" s="22"/>
      <c r="G895" s="22"/>
    </row>
    <row r="896">
      <c r="B896" s="22"/>
      <c r="C896" s="22"/>
      <c r="D896" s="22"/>
      <c r="E896" s="22"/>
      <c r="F896" s="22"/>
      <c r="G896" s="22"/>
    </row>
    <row r="897">
      <c r="B897" s="22"/>
      <c r="C897" s="22"/>
      <c r="D897" s="22"/>
      <c r="E897" s="22"/>
      <c r="F897" s="22"/>
      <c r="G897" s="22"/>
    </row>
    <row r="898">
      <c r="B898" s="22"/>
      <c r="C898" s="22"/>
      <c r="D898" s="22"/>
      <c r="E898" s="22"/>
      <c r="F898" s="22"/>
      <c r="G898" s="22"/>
    </row>
    <row r="899">
      <c r="B899" s="22"/>
      <c r="C899" s="22"/>
      <c r="D899" s="22"/>
      <c r="E899" s="22"/>
      <c r="F899" s="22"/>
      <c r="G899" s="22"/>
    </row>
    <row r="900">
      <c r="B900" s="22"/>
      <c r="C900" s="22"/>
      <c r="D900" s="22"/>
      <c r="E900" s="22"/>
      <c r="F900" s="22"/>
      <c r="G900" s="22"/>
    </row>
    <row r="901">
      <c r="B901" s="22"/>
      <c r="C901" s="22"/>
      <c r="D901" s="22"/>
      <c r="E901" s="22"/>
      <c r="F901" s="22"/>
      <c r="G901" s="22"/>
    </row>
    <row r="902">
      <c r="B902" s="22"/>
      <c r="C902" s="22"/>
      <c r="D902" s="22"/>
      <c r="E902" s="22"/>
      <c r="F902" s="22"/>
      <c r="G902" s="22"/>
    </row>
    <row r="903">
      <c r="B903" s="22"/>
      <c r="C903" s="22"/>
      <c r="D903" s="22"/>
      <c r="E903" s="22"/>
      <c r="F903" s="22"/>
      <c r="G903" s="22"/>
    </row>
    <row r="904">
      <c r="B904" s="22"/>
      <c r="C904" s="22"/>
      <c r="D904" s="22"/>
      <c r="E904" s="22"/>
      <c r="F904" s="22"/>
      <c r="G904" s="22"/>
    </row>
    <row r="905">
      <c r="B905" s="22"/>
      <c r="C905" s="22"/>
      <c r="D905" s="22"/>
      <c r="E905" s="22"/>
      <c r="F905" s="22"/>
      <c r="G905" s="22"/>
    </row>
    <row r="906">
      <c r="B906" s="22"/>
      <c r="C906" s="22"/>
      <c r="D906" s="22"/>
      <c r="E906" s="22"/>
      <c r="F906" s="22"/>
      <c r="G906" s="22"/>
    </row>
    <row r="907">
      <c r="B907" s="22"/>
      <c r="C907" s="22"/>
      <c r="D907" s="22"/>
      <c r="E907" s="22"/>
      <c r="F907" s="22"/>
      <c r="G907" s="22"/>
    </row>
    <row r="908">
      <c r="B908" s="22"/>
      <c r="C908" s="22"/>
      <c r="D908" s="22"/>
      <c r="E908" s="22"/>
      <c r="F908" s="22"/>
      <c r="G908" s="22"/>
    </row>
    <row r="909">
      <c r="B909" s="22"/>
      <c r="C909" s="22"/>
      <c r="D909" s="22"/>
      <c r="E909" s="22"/>
      <c r="F909" s="22"/>
      <c r="G909" s="22"/>
    </row>
    <row r="910">
      <c r="B910" s="22"/>
      <c r="C910" s="22"/>
      <c r="D910" s="22"/>
      <c r="E910" s="22"/>
      <c r="F910" s="22"/>
      <c r="G910" s="22"/>
    </row>
    <row r="911">
      <c r="B911" s="22"/>
      <c r="C911" s="22"/>
      <c r="D911" s="22"/>
      <c r="E911" s="22"/>
      <c r="F911" s="22"/>
      <c r="G911" s="22"/>
    </row>
    <row r="912">
      <c r="B912" s="22"/>
      <c r="C912" s="22"/>
      <c r="D912" s="22"/>
      <c r="E912" s="22"/>
      <c r="F912" s="22"/>
      <c r="G912" s="22"/>
    </row>
    <row r="913">
      <c r="B913" s="22"/>
      <c r="C913" s="22"/>
      <c r="D913" s="22"/>
      <c r="E913" s="22"/>
      <c r="F913" s="22"/>
      <c r="G913" s="22"/>
    </row>
    <row r="914">
      <c r="B914" s="22"/>
      <c r="C914" s="22"/>
      <c r="D914" s="22"/>
      <c r="E914" s="22"/>
      <c r="F914" s="22"/>
      <c r="G914" s="22"/>
    </row>
    <row r="915">
      <c r="B915" s="22"/>
      <c r="C915" s="22"/>
      <c r="D915" s="22"/>
      <c r="E915" s="22"/>
      <c r="F915" s="22"/>
      <c r="G915" s="22"/>
    </row>
    <row r="916">
      <c r="B916" s="22"/>
      <c r="C916" s="22"/>
      <c r="D916" s="22"/>
      <c r="E916" s="22"/>
      <c r="F916" s="22"/>
      <c r="G916" s="22"/>
    </row>
    <row r="917">
      <c r="B917" s="22"/>
      <c r="C917" s="22"/>
      <c r="D917" s="22"/>
      <c r="E917" s="22"/>
      <c r="F917" s="22"/>
      <c r="G917" s="22"/>
    </row>
    <row r="918">
      <c r="B918" s="22"/>
      <c r="C918" s="22"/>
      <c r="D918" s="22"/>
      <c r="E918" s="22"/>
      <c r="F918" s="22"/>
      <c r="G918" s="22"/>
    </row>
    <row r="919">
      <c r="B919" s="22"/>
      <c r="C919" s="22"/>
      <c r="D919" s="22"/>
      <c r="E919" s="22"/>
      <c r="F919" s="22"/>
      <c r="G919" s="22"/>
    </row>
    <row r="920">
      <c r="B920" s="22"/>
      <c r="C920" s="22"/>
      <c r="D920" s="22"/>
      <c r="E920" s="22"/>
      <c r="F920" s="22"/>
      <c r="G920" s="22"/>
    </row>
    <row r="921">
      <c r="B921" s="22"/>
      <c r="C921" s="22"/>
      <c r="D921" s="22"/>
      <c r="E921" s="22"/>
      <c r="F921" s="22"/>
      <c r="G921" s="22"/>
    </row>
    <row r="922">
      <c r="B922" s="22"/>
      <c r="C922" s="22"/>
      <c r="D922" s="22"/>
      <c r="E922" s="22"/>
      <c r="F922" s="22"/>
      <c r="G922" s="22"/>
    </row>
    <row r="923">
      <c r="B923" s="22"/>
      <c r="C923" s="22"/>
      <c r="D923" s="22"/>
      <c r="E923" s="22"/>
      <c r="F923" s="22"/>
      <c r="G923" s="22"/>
    </row>
    <row r="924">
      <c r="B924" s="22"/>
      <c r="C924" s="22"/>
      <c r="D924" s="22"/>
      <c r="E924" s="22"/>
      <c r="F924" s="22"/>
      <c r="G924" s="22"/>
    </row>
    <row r="925">
      <c r="B925" s="22"/>
      <c r="C925" s="22"/>
      <c r="D925" s="22"/>
      <c r="E925" s="22"/>
      <c r="F925" s="22"/>
      <c r="G925" s="22"/>
    </row>
    <row r="926">
      <c r="B926" s="22"/>
      <c r="C926" s="22"/>
      <c r="D926" s="22"/>
      <c r="E926" s="22"/>
      <c r="F926" s="22"/>
      <c r="G926" s="22"/>
    </row>
    <row r="927">
      <c r="B927" s="22"/>
      <c r="C927" s="22"/>
      <c r="D927" s="22"/>
      <c r="E927" s="22"/>
      <c r="F927" s="22"/>
      <c r="G927" s="22"/>
    </row>
    <row r="928">
      <c r="B928" s="22"/>
      <c r="C928" s="22"/>
      <c r="D928" s="22"/>
      <c r="E928" s="22"/>
      <c r="F928" s="22"/>
      <c r="G928" s="22"/>
    </row>
    <row r="929">
      <c r="B929" s="22"/>
      <c r="C929" s="22"/>
      <c r="D929" s="22"/>
      <c r="E929" s="22"/>
      <c r="F929" s="22"/>
      <c r="G929" s="22"/>
    </row>
    <row r="930">
      <c r="B930" s="22"/>
      <c r="C930" s="22"/>
      <c r="D930" s="22"/>
      <c r="E930" s="22"/>
      <c r="F930" s="22"/>
      <c r="G930" s="22"/>
    </row>
    <row r="931">
      <c r="B931" s="22"/>
      <c r="C931" s="22"/>
      <c r="D931" s="22"/>
      <c r="E931" s="22"/>
      <c r="F931" s="22"/>
      <c r="G931" s="22"/>
    </row>
    <row r="932">
      <c r="B932" s="22"/>
      <c r="C932" s="22"/>
      <c r="D932" s="22"/>
      <c r="E932" s="22"/>
      <c r="F932" s="22"/>
      <c r="G932" s="22"/>
    </row>
    <row r="933">
      <c r="B933" s="22"/>
      <c r="C933" s="22"/>
      <c r="D933" s="22"/>
      <c r="E933" s="22"/>
      <c r="F933" s="22"/>
      <c r="G933" s="22"/>
    </row>
    <row r="934">
      <c r="B934" s="22"/>
      <c r="C934" s="22"/>
      <c r="D934" s="22"/>
      <c r="E934" s="22"/>
      <c r="F934" s="22"/>
      <c r="G934" s="22"/>
    </row>
    <row r="935">
      <c r="B935" s="22"/>
      <c r="C935" s="22"/>
      <c r="D935" s="22"/>
      <c r="E935" s="22"/>
      <c r="F935" s="22"/>
      <c r="G935" s="22"/>
    </row>
    <row r="936">
      <c r="B936" s="22"/>
      <c r="C936" s="22"/>
      <c r="D936" s="22"/>
      <c r="E936" s="22"/>
      <c r="F936" s="22"/>
      <c r="G936" s="22"/>
    </row>
    <row r="937">
      <c r="B937" s="22"/>
      <c r="C937" s="22"/>
      <c r="D937" s="22"/>
      <c r="E937" s="22"/>
      <c r="F937" s="22"/>
      <c r="G937" s="22"/>
    </row>
    <row r="938">
      <c r="B938" s="22"/>
      <c r="C938" s="22"/>
      <c r="D938" s="22"/>
      <c r="E938" s="22"/>
      <c r="F938" s="22"/>
      <c r="G938" s="22"/>
    </row>
    <row r="939">
      <c r="B939" s="22"/>
      <c r="C939" s="22"/>
      <c r="D939" s="22"/>
      <c r="E939" s="22"/>
      <c r="F939" s="22"/>
      <c r="G939" s="22"/>
    </row>
    <row r="940">
      <c r="B940" s="22"/>
      <c r="C940" s="22"/>
      <c r="D940" s="22"/>
      <c r="E940" s="22"/>
      <c r="F940" s="22"/>
      <c r="G940" s="22"/>
    </row>
    <row r="941">
      <c r="B941" s="22"/>
      <c r="C941" s="22"/>
      <c r="D941" s="22"/>
      <c r="E941" s="22"/>
      <c r="F941" s="22"/>
      <c r="G941" s="22"/>
    </row>
    <row r="942">
      <c r="B942" s="22"/>
      <c r="C942" s="22"/>
      <c r="D942" s="22"/>
      <c r="E942" s="22"/>
      <c r="F942" s="22"/>
      <c r="G942" s="22"/>
    </row>
    <row r="943">
      <c r="B943" s="22"/>
      <c r="C943" s="22"/>
      <c r="D943" s="22"/>
      <c r="E943" s="22"/>
      <c r="F943" s="22"/>
      <c r="G943" s="22"/>
    </row>
    <row r="944">
      <c r="B944" s="22"/>
      <c r="C944" s="22"/>
      <c r="D944" s="22"/>
      <c r="E944" s="22"/>
      <c r="F944" s="22"/>
      <c r="G944" s="22"/>
    </row>
    <row r="945">
      <c r="B945" s="22"/>
      <c r="C945" s="22"/>
      <c r="D945" s="22"/>
      <c r="E945" s="22"/>
      <c r="F945" s="22"/>
      <c r="G945" s="22"/>
    </row>
    <row r="946">
      <c r="B946" s="22"/>
      <c r="C946" s="22"/>
      <c r="D946" s="22"/>
      <c r="E946" s="22"/>
      <c r="F946" s="22"/>
      <c r="G946" s="22"/>
    </row>
    <row r="947">
      <c r="B947" s="22"/>
      <c r="C947" s="22"/>
      <c r="D947" s="22"/>
      <c r="E947" s="22"/>
      <c r="F947" s="22"/>
      <c r="G947" s="22"/>
    </row>
    <row r="948">
      <c r="B948" s="22"/>
      <c r="C948" s="22"/>
      <c r="D948" s="22"/>
      <c r="E948" s="22"/>
      <c r="F948" s="22"/>
      <c r="G948" s="22"/>
    </row>
    <row r="949">
      <c r="B949" s="22"/>
      <c r="C949" s="22"/>
      <c r="D949" s="22"/>
      <c r="E949" s="22"/>
      <c r="F949" s="22"/>
      <c r="G949" s="22"/>
    </row>
    <row r="950">
      <c r="B950" s="22"/>
      <c r="C950" s="22"/>
      <c r="D950" s="22"/>
      <c r="E950" s="22"/>
      <c r="F950" s="22"/>
      <c r="G950" s="22"/>
    </row>
    <row r="951">
      <c r="B951" s="22"/>
      <c r="C951" s="22"/>
      <c r="D951" s="22"/>
      <c r="E951" s="22"/>
      <c r="F951" s="22"/>
      <c r="G951" s="22"/>
    </row>
    <row r="952">
      <c r="B952" s="22"/>
      <c r="C952" s="22"/>
      <c r="D952" s="22"/>
      <c r="E952" s="22"/>
      <c r="F952" s="22"/>
      <c r="G952" s="22"/>
    </row>
    <row r="953">
      <c r="B953" s="22"/>
      <c r="C953" s="22"/>
      <c r="D953" s="22"/>
      <c r="E953" s="22"/>
      <c r="F953" s="22"/>
      <c r="G953" s="22"/>
    </row>
    <row r="954">
      <c r="B954" s="22"/>
      <c r="C954" s="22"/>
      <c r="D954" s="22"/>
      <c r="E954" s="22"/>
      <c r="F954" s="22"/>
      <c r="G954" s="22"/>
    </row>
    <row r="955">
      <c r="B955" s="22"/>
      <c r="C955" s="22"/>
      <c r="D955" s="22"/>
      <c r="E955" s="22"/>
      <c r="F955" s="22"/>
      <c r="G955" s="22"/>
    </row>
    <row r="956">
      <c r="B956" s="22"/>
      <c r="C956" s="22"/>
      <c r="D956" s="22"/>
      <c r="E956" s="22"/>
      <c r="F956" s="22"/>
      <c r="G956" s="22"/>
    </row>
    <row r="957">
      <c r="B957" s="22"/>
      <c r="C957" s="22"/>
      <c r="D957" s="22"/>
      <c r="E957" s="22"/>
      <c r="F957" s="22"/>
      <c r="G957" s="22"/>
    </row>
    <row r="958">
      <c r="B958" s="22"/>
      <c r="C958" s="22"/>
      <c r="D958" s="22"/>
      <c r="E958" s="22"/>
      <c r="F958" s="22"/>
      <c r="G958" s="22"/>
    </row>
    <row r="959">
      <c r="B959" s="22"/>
      <c r="C959" s="22"/>
      <c r="D959" s="22"/>
      <c r="E959" s="22"/>
      <c r="F959" s="22"/>
      <c r="G959" s="22"/>
    </row>
    <row r="960">
      <c r="B960" s="22"/>
      <c r="C960" s="22"/>
      <c r="D960" s="22"/>
      <c r="E960" s="22"/>
      <c r="F960" s="22"/>
      <c r="G960" s="22"/>
    </row>
    <row r="961">
      <c r="B961" s="22"/>
      <c r="C961" s="22"/>
      <c r="D961" s="22"/>
      <c r="E961" s="22"/>
      <c r="F961" s="22"/>
      <c r="G961" s="22"/>
    </row>
    <row r="962">
      <c r="B962" s="22"/>
      <c r="C962" s="22"/>
      <c r="D962" s="22"/>
      <c r="E962" s="22"/>
      <c r="F962" s="22"/>
      <c r="G962" s="22"/>
    </row>
    <row r="963">
      <c r="B963" s="22"/>
      <c r="C963" s="22"/>
      <c r="D963" s="22"/>
      <c r="E963" s="22"/>
      <c r="F963" s="22"/>
      <c r="G963" s="22"/>
    </row>
    <row r="964">
      <c r="B964" s="22"/>
      <c r="C964" s="22"/>
      <c r="D964" s="22"/>
      <c r="E964" s="22"/>
      <c r="F964" s="22"/>
      <c r="G964" s="22"/>
    </row>
    <row r="965">
      <c r="B965" s="22"/>
      <c r="C965" s="22"/>
      <c r="D965" s="22"/>
      <c r="E965" s="22"/>
      <c r="F965" s="22"/>
      <c r="G965" s="22"/>
    </row>
    <row r="966">
      <c r="B966" s="22"/>
      <c r="C966" s="22"/>
      <c r="D966" s="22"/>
      <c r="E966" s="22"/>
      <c r="F966" s="22"/>
      <c r="G966" s="22"/>
    </row>
    <row r="967">
      <c r="B967" s="22"/>
      <c r="C967" s="22"/>
      <c r="D967" s="22"/>
      <c r="E967" s="22"/>
      <c r="F967" s="22"/>
      <c r="G967" s="22"/>
    </row>
    <row r="968">
      <c r="B968" s="22"/>
      <c r="C968" s="22"/>
      <c r="D968" s="22"/>
      <c r="E968" s="22"/>
      <c r="F968" s="22"/>
      <c r="G968" s="22"/>
    </row>
    <row r="969">
      <c r="B969" s="22"/>
      <c r="C969" s="22"/>
      <c r="D969" s="22"/>
      <c r="E969" s="22"/>
      <c r="F969" s="22"/>
      <c r="G969" s="22"/>
    </row>
    <row r="970">
      <c r="B970" s="22"/>
      <c r="C970" s="22"/>
      <c r="D970" s="22"/>
      <c r="E970" s="22"/>
      <c r="F970" s="22"/>
      <c r="G970" s="22"/>
    </row>
    <row r="971">
      <c r="B971" s="22"/>
      <c r="C971" s="22"/>
      <c r="D971" s="22"/>
      <c r="E971" s="22"/>
      <c r="F971" s="22"/>
      <c r="G971" s="22"/>
    </row>
    <row r="972">
      <c r="B972" s="22"/>
      <c r="C972" s="22"/>
      <c r="D972" s="22"/>
      <c r="E972" s="22"/>
      <c r="F972" s="22"/>
      <c r="G972" s="22"/>
    </row>
    <row r="973">
      <c r="B973" s="22"/>
      <c r="C973" s="22"/>
      <c r="D973" s="22"/>
      <c r="E973" s="22"/>
      <c r="F973" s="22"/>
      <c r="G973" s="22"/>
    </row>
    <row r="974">
      <c r="B974" s="22"/>
      <c r="C974" s="22"/>
      <c r="D974" s="22"/>
      <c r="E974" s="22"/>
      <c r="F974" s="22"/>
      <c r="G974" s="22"/>
    </row>
    <row r="975">
      <c r="B975" s="22"/>
      <c r="C975" s="22"/>
      <c r="D975" s="22"/>
      <c r="E975" s="22"/>
      <c r="F975" s="22"/>
      <c r="G975" s="22"/>
    </row>
    <row r="976">
      <c r="B976" s="22"/>
      <c r="C976" s="22"/>
      <c r="D976" s="22"/>
      <c r="E976" s="22"/>
      <c r="F976" s="22"/>
      <c r="G976" s="22"/>
    </row>
    <row r="977">
      <c r="B977" s="22"/>
      <c r="C977" s="22"/>
      <c r="D977" s="22"/>
      <c r="E977" s="22"/>
      <c r="F977" s="22"/>
      <c r="G977" s="22"/>
    </row>
    <row r="978">
      <c r="B978" s="22"/>
      <c r="C978" s="22"/>
      <c r="D978" s="22"/>
      <c r="E978" s="22"/>
      <c r="F978" s="22"/>
      <c r="G978" s="22"/>
    </row>
    <row r="979">
      <c r="B979" s="22"/>
      <c r="C979" s="22"/>
      <c r="D979" s="22"/>
      <c r="E979" s="22"/>
      <c r="F979" s="22"/>
      <c r="G979" s="22"/>
    </row>
    <row r="980">
      <c r="B980" s="22"/>
      <c r="C980" s="22"/>
      <c r="D980" s="22"/>
      <c r="E980" s="22"/>
      <c r="F980" s="22"/>
      <c r="G980" s="22"/>
    </row>
    <row r="981">
      <c r="B981" s="22"/>
      <c r="C981" s="22"/>
      <c r="D981" s="22"/>
      <c r="E981" s="22"/>
      <c r="F981" s="22"/>
      <c r="G981" s="22"/>
    </row>
    <row r="982">
      <c r="B982" s="22"/>
      <c r="C982" s="22"/>
      <c r="D982" s="22"/>
      <c r="E982" s="22"/>
      <c r="F982" s="22"/>
      <c r="G982" s="22"/>
    </row>
    <row r="983">
      <c r="B983" s="22"/>
      <c r="C983" s="22"/>
      <c r="D983" s="22"/>
      <c r="E983" s="22"/>
      <c r="F983" s="22"/>
      <c r="G983" s="22"/>
    </row>
    <row r="984">
      <c r="B984" s="22"/>
      <c r="C984" s="22"/>
      <c r="D984" s="22"/>
      <c r="E984" s="22"/>
      <c r="F984" s="22"/>
      <c r="G984" s="22"/>
    </row>
    <row r="985">
      <c r="B985" s="22"/>
      <c r="C985" s="22"/>
      <c r="D985" s="22"/>
      <c r="E985" s="22"/>
      <c r="F985" s="22"/>
      <c r="G985" s="22"/>
    </row>
    <row r="986">
      <c r="B986" s="22"/>
      <c r="C986" s="22"/>
      <c r="D986" s="22"/>
      <c r="E986" s="22"/>
      <c r="F986" s="22"/>
      <c r="G986" s="22"/>
    </row>
    <row r="987">
      <c r="B987" s="22"/>
      <c r="C987" s="22"/>
      <c r="D987" s="22"/>
      <c r="E987" s="22"/>
      <c r="F987" s="22"/>
      <c r="G987" s="22"/>
    </row>
    <row r="988">
      <c r="B988" s="22"/>
      <c r="C988" s="22"/>
      <c r="D988" s="22"/>
      <c r="E988" s="22"/>
      <c r="F988" s="22"/>
      <c r="G988" s="22"/>
    </row>
    <row r="989">
      <c r="B989" s="22"/>
      <c r="C989" s="22"/>
      <c r="D989" s="22"/>
      <c r="E989" s="22"/>
      <c r="F989" s="22"/>
      <c r="G989" s="22"/>
    </row>
    <row r="990">
      <c r="B990" s="22"/>
      <c r="C990" s="22"/>
      <c r="D990" s="22"/>
      <c r="E990" s="22"/>
      <c r="F990" s="22"/>
      <c r="G990" s="22"/>
    </row>
    <row r="991">
      <c r="B991" s="22"/>
      <c r="C991" s="22"/>
      <c r="D991" s="22"/>
      <c r="E991" s="22"/>
      <c r="F991" s="22"/>
      <c r="G991" s="22"/>
    </row>
    <row r="992">
      <c r="B992" s="22"/>
      <c r="C992" s="22"/>
      <c r="D992" s="22"/>
      <c r="E992" s="22"/>
      <c r="F992" s="22"/>
      <c r="G992" s="22"/>
    </row>
    <row r="993">
      <c r="B993" s="22"/>
      <c r="C993" s="22"/>
      <c r="D993" s="22"/>
      <c r="E993" s="22"/>
      <c r="F993" s="22"/>
      <c r="G993" s="22"/>
    </row>
    <row r="994">
      <c r="B994" s="22"/>
      <c r="C994" s="22"/>
      <c r="D994" s="22"/>
      <c r="E994" s="22"/>
      <c r="F994" s="22"/>
      <c r="G994" s="22"/>
    </row>
    <row r="995">
      <c r="B995" s="22"/>
      <c r="C995" s="22"/>
      <c r="D995" s="22"/>
      <c r="E995" s="22"/>
      <c r="F995" s="22"/>
      <c r="G995" s="22"/>
    </row>
    <row r="996">
      <c r="B996" s="22"/>
      <c r="C996" s="22"/>
      <c r="D996" s="22"/>
      <c r="E996" s="22"/>
      <c r="F996" s="22"/>
      <c r="G996" s="22"/>
    </row>
    <row r="997">
      <c r="B997" s="22"/>
      <c r="C997" s="22"/>
      <c r="D997" s="22"/>
      <c r="E997" s="22"/>
      <c r="F997" s="22"/>
      <c r="G997" s="22"/>
    </row>
    <row r="998">
      <c r="B998" s="22"/>
      <c r="C998" s="22"/>
      <c r="D998" s="22"/>
      <c r="E998" s="22"/>
      <c r="F998" s="22"/>
      <c r="G998" s="22"/>
    </row>
    <row r="999">
      <c r="B999" s="22"/>
      <c r="C999" s="22"/>
      <c r="D999" s="22"/>
      <c r="E999" s="22"/>
      <c r="F999" s="22"/>
      <c r="G999" s="22"/>
    </row>
    <row r="1000">
      <c r="B1000" s="22"/>
      <c r="C1000" s="22"/>
      <c r="D1000" s="22"/>
      <c r="E1000" s="22"/>
      <c r="F1000" s="22"/>
      <c r="G1000" s="22"/>
    </row>
    <row r="1001">
      <c r="B1001" s="22"/>
      <c r="C1001" s="22"/>
      <c r="D1001" s="22"/>
      <c r="E1001" s="22"/>
      <c r="F1001" s="22"/>
      <c r="G1001" s="22"/>
    </row>
    <row r="1002">
      <c r="B1002" s="22"/>
      <c r="C1002" s="22"/>
      <c r="D1002" s="22"/>
      <c r="E1002" s="22"/>
      <c r="F1002" s="22"/>
      <c r="G1002" s="22"/>
    </row>
    <row r="1003">
      <c r="B1003" s="22"/>
      <c r="C1003" s="22"/>
      <c r="D1003" s="22"/>
      <c r="E1003" s="22"/>
      <c r="F1003" s="22"/>
      <c r="G1003" s="22"/>
    </row>
    <row r="1004">
      <c r="B1004" s="22"/>
      <c r="C1004" s="22"/>
      <c r="D1004" s="22"/>
      <c r="E1004" s="22"/>
      <c r="F1004" s="22"/>
      <c r="G1004" s="22"/>
    </row>
    <row r="1005">
      <c r="B1005" s="22"/>
      <c r="C1005" s="22"/>
      <c r="D1005" s="22"/>
      <c r="E1005" s="22"/>
      <c r="F1005" s="22"/>
      <c r="G1005" s="22"/>
    </row>
    <row r="1006">
      <c r="B1006" s="22"/>
      <c r="C1006" s="22"/>
      <c r="D1006" s="22"/>
      <c r="E1006" s="22"/>
      <c r="F1006" s="22"/>
      <c r="G1006" s="22"/>
    </row>
    <row r="1007">
      <c r="B1007" s="22"/>
      <c r="C1007" s="22"/>
      <c r="D1007" s="22"/>
      <c r="E1007" s="22"/>
      <c r="F1007" s="22"/>
      <c r="G1007" s="22"/>
    </row>
    <row r="1008">
      <c r="B1008" s="22"/>
      <c r="C1008" s="22"/>
      <c r="D1008" s="22"/>
      <c r="E1008" s="22"/>
      <c r="F1008" s="22"/>
      <c r="G1008" s="22"/>
    </row>
    <row r="1009">
      <c r="B1009" s="22"/>
      <c r="C1009" s="22"/>
      <c r="D1009" s="22"/>
      <c r="E1009" s="22"/>
      <c r="F1009" s="22"/>
      <c r="G1009" s="22"/>
    </row>
    <row r="1010">
      <c r="B1010" s="22"/>
      <c r="C1010" s="22"/>
      <c r="D1010" s="22"/>
      <c r="E1010" s="22"/>
      <c r="F1010" s="22"/>
      <c r="G1010" s="22"/>
    </row>
    <row r="1011">
      <c r="B1011" s="22"/>
      <c r="C1011" s="22"/>
      <c r="D1011" s="22"/>
      <c r="E1011" s="22"/>
      <c r="F1011" s="22"/>
      <c r="G1011" s="22"/>
    </row>
    <row r="1012">
      <c r="B1012" s="22"/>
      <c r="C1012" s="22"/>
      <c r="D1012" s="22"/>
      <c r="E1012" s="22"/>
      <c r="F1012" s="22"/>
      <c r="G1012" s="22"/>
    </row>
    <row r="1013">
      <c r="B1013" s="22"/>
      <c r="C1013" s="22"/>
      <c r="D1013" s="22"/>
      <c r="E1013" s="22"/>
      <c r="F1013" s="22"/>
      <c r="G1013" s="22"/>
    </row>
    <row r="1014">
      <c r="B1014" s="22"/>
      <c r="C1014" s="22"/>
      <c r="D1014" s="22"/>
      <c r="E1014" s="22"/>
      <c r="F1014" s="22"/>
      <c r="G1014" s="22"/>
    </row>
    <row r="1015">
      <c r="B1015" s="22"/>
      <c r="C1015" s="22"/>
      <c r="D1015" s="22"/>
      <c r="E1015" s="22"/>
      <c r="F1015" s="22"/>
      <c r="G1015" s="22"/>
    </row>
    <row r="1016">
      <c r="B1016" s="22"/>
      <c r="C1016" s="22"/>
      <c r="D1016" s="22"/>
      <c r="E1016" s="22"/>
      <c r="F1016" s="22"/>
      <c r="G1016" s="22"/>
    </row>
    <row r="1017">
      <c r="B1017" s="22"/>
      <c r="C1017" s="22"/>
      <c r="D1017" s="22"/>
      <c r="E1017" s="22"/>
      <c r="F1017" s="22"/>
      <c r="G1017" s="22"/>
    </row>
    <row r="1018">
      <c r="B1018" s="22"/>
      <c r="C1018" s="22"/>
      <c r="D1018" s="22"/>
      <c r="E1018" s="22"/>
      <c r="F1018" s="22"/>
      <c r="G1018" s="22"/>
    </row>
    <row r="1019">
      <c r="B1019" s="22"/>
      <c r="C1019" s="22"/>
      <c r="D1019" s="22"/>
      <c r="E1019" s="22"/>
      <c r="F1019" s="22"/>
      <c r="G1019" s="22"/>
    </row>
    <row r="1020">
      <c r="B1020" s="22"/>
      <c r="C1020" s="22"/>
      <c r="D1020" s="22"/>
      <c r="E1020" s="22"/>
      <c r="F1020" s="22"/>
      <c r="G1020" s="22"/>
    </row>
    <row r="1021">
      <c r="B1021" s="22"/>
      <c r="C1021" s="22"/>
      <c r="D1021" s="22"/>
      <c r="E1021" s="22"/>
      <c r="F1021" s="22"/>
      <c r="G1021" s="22"/>
    </row>
    <row r="1022">
      <c r="B1022" s="22"/>
      <c r="C1022" s="22"/>
      <c r="D1022" s="22"/>
      <c r="E1022" s="22"/>
      <c r="F1022" s="22"/>
      <c r="G1022" s="22"/>
    </row>
    <row r="1023">
      <c r="B1023" s="22"/>
      <c r="C1023" s="22"/>
      <c r="D1023" s="22"/>
      <c r="E1023" s="22"/>
      <c r="F1023" s="22"/>
      <c r="G1023" s="22"/>
    </row>
    <row r="1024">
      <c r="B1024" s="22"/>
      <c r="C1024" s="22"/>
      <c r="D1024" s="22"/>
      <c r="E1024" s="22"/>
      <c r="F1024" s="22"/>
      <c r="G1024" s="22"/>
    </row>
    <row r="1025">
      <c r="B1025" s="22"/>
      <c r="C1025" s="22"/>
      <c r="D1025" s="22"/>
      <c r="E1025" s="22"/>
      <c r="F1025" s="22"/>
      <c r="G1025" s="22"/>
    </row>
    <row r="1026">
      <c r="B1026" s="22"/>
      <c r="C1026" s="22"/>
      <c r="D1026" s="22"/>
      <c r="E1026" s="22"/>
      <c r="F1026" s="22"/>
      <c r="G1026" s="22"/>
    </row>
    <row r="1027">
      <c r="B1027" s="22"/>
      <c r="C1027" s="22"/>
      <c r="D1027" s="22"/>
      <c r="E1027" s="22"/>
      <c r="F1027" s="22"/>
      <c r="G1027" s="22"/>
    </row>
    <row r="1028">
      <c r="B1028" s="22"/>
      <c r="C1028" s="22"/>
      <c r="D1028" s="22"/>
      <c r="E1028" s="22"/>
      <c r="F1028" s="22"/>
      <c r="G1028" s="22"/>
    </row>
    <row r="1029">
      <c r="B1029" s="22"/>
      <c r="C1029" s="22"/>
      <c r="D1029" s="22"/>
      <c r="E1029" s="22"/>
      <c r="F1029" s="22"/>
      <c r="G1029" s="22"/>
    </row>
    <row r="1030">
      <c r="B1030" s="22"/>
      <c r="C1030" s="22"/>
      <c r="D1030" s="22"/>
      <c r="E1030" s="22"/>
      <c r="F1030" s="22"/>
      <c r="G1030" s="22"/>
    </row>
    <row r="1031">
      <c r="B1031" s="22"/>
      <c r="C1031" s="22"/>
      <c r="D1031" s="22"/>
      <c r="E1031" s="22"/>
      <c r="F1031" s="22"/>
      <c r="G1031" s="22"/>
    </row>
    <row r="1032">
      <c r="B1032" s="22"/>
      <c r="C1032" s="22"/>
      <c r="D1032" s="22"/>
      <c r="E1032" s="22"/>
      <c r="F1032" s="22"/>
      <c r="G1032" s="22"/>
    </row>
    <row r="1033">
      <c r="B1033" s="22"/>
      <c r="C1033" s="22"/>
      <c r="D1033" s="22"/>
      <c r="E1033" s="22"/>
      <c r="F1033" s="22"/>
      <c r="G1033" s="22"/>
    </row>
    <row r="1034">
      <c r="B1034" s="22"/>
      <c r="C1034" s="22"/>
      <c r="D1034" s="22"/>
      <c r="E1034" s="22"/>
      <c r="F1034" s="22"/>
      <c r="G1034" s="22"/>
    </row>
    <row r="1035">
      <c r="B1035" s="22"/>
      <c r="C1035" s="22"/>
      <c r="D1035" s="22"/>
      <c r="E1035" s="22"/>
      <c r="F1035" s="22"/>
      <c r="G1035" s="22"/>
    </row>
    <row r="1036">
      <c r="B1036" s="22"/>
      <c r="C1036" s="22"/>
      <c r="D1036" s="22"/>
      <c r="E1036" s="22"/>
      <c r="F1036" s="22"/>
      <c r="G1036" s="22"/>
    </row>
    <row r="1037">
      <c r="B1037" s="22"/>
      <c r="C1037" s="22"/>
      <c r="D1037" s="22"/>
      <c r="E1037" s="22"/>
      <c r="F1037" s="22"/>
      <c r="G1037" s="22"/>
    </row>
    <row r="1038">
      <c r="B1038" s="22"/>
      <c r="C1038" s="22"/>
      <c r="D1038" s="22"/>
      <c r="E1038" s="22"/>
      <c r="F1038" s="22"/>
      <c r="G1038" s="22"/>
    </row>
    <row r="1039">
      <c r="B1039" s="22"/>
      <c r="C1039" s="22"/>
      <c r="D1039" s="22"/>
      <c r="E1039" s="22"/>
      <c r="F1039" s="22"/>
      <c r="G1039" s="22"/>
    </row>
    <row r="1040">
      <c r="B1040" s="22"/>
      <c r="C1040" s="22"/>
      <c r="D1040" s="22"/>
      <c r="E1040" s="22"/>
      <c r="F1040" s="22"/>
      <c r="G1040" s="22"/>
    </row>
    <row r="1041">
      <c r="B1041" s="22"/>
      <c r="C1041" s="22"/>
      <c r="D1041" s="22"/>
      <c r="E1041" s="22"/>
      <c r="F1041" s="22"/>
      <c r="G1041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63"/>
    <col customWidth="1" min="7" max="7" width="14.25"/>
  </cols>
  <sheetData>
    <row r="1">
      <c r="A1" s="28" t="s">
        <v>209</v>
      </c>
      <c r="B1" s="29" t="s">
        <v>212</v>
      </c>
      <c r="C1" s="30" t="s">
        <v>213</v>
      </c>
      <c r="D1" s="28" t="s">
        <v>214</v>
      </c>
      <c r="E1" s="28" t="s">
        <v>216</v>
      </c>
      <c r="F1" s="29" t="s">
        <v>217</v>
      </c>
      <c r="G1" s="31" t="s">
        <v>218</v>
      </c>
    </row>
    <row r="2">
      <c r="A2" s="37" t="s">
        <v>219</v>
      </c>
      <c r="B2" s="37">
        <v>0.0</v>
      </c>
      <c r="C2" s="37">
        <v>0.0</v>
      </c>
      <c r="D2" s="37">
        <v>0.0</v>
      </c>
      <c r="E2" s="37">
        <v>0.0</v>
      </c>
      <c r="F2" s="37">
        <v>0.0</v>
      </c>
      <c r="G2" s="40">
        <v>1249.12</v>
      </c>
    </row>
    <row r="3">
      <c r="A3" s="41">
        <v>46037.0</v>
      </c>
      <c r="B3" s="37">
        <v>46.45</v>
      </c>
      <c r="C3" s="37" t="s">
        <v>245</v>
      </c>
      <c r="D3" s="40">
        <v>0.0</v>
      </c>
      <c r="E3" s="40">
        <v>0.0</v>
      </c>
      <c r="F3" s="40">
        <v>0.0</v>
      </c>
      <c r="G3" s="40">
        <v>0.0</v>
      </c>
    </row>
    <row r="4">
      <c r="A4" s="41">
        <v>46038.0</v>
      </c>
      <c r="B4" s="40">
        <v>0.0</v>
      </c>
      <c r="C4" s="37" t="s">
        <v>245</v>
      </c>
      <c r="D4" s="40">
        <v>0.0</v>
      </c>
      <c r="E4" s="40">
        <v>0.0</v>
      </c>
      <c r="F4" s="40">
        <v>0.0</v>
      </c>
      <c r="G4" s="40">
        <v>0.0</v>
      </c>
    </row>
    <row r="5">
      <c r="A5" s="41">
        <v>46041.0</v>
      </c>
      <c r="B5" s="37">
        <v>204.6</v>
      </c>
      <c r="C5" s="37" t="s">
        <v>245</v>
      </c>
      <c r="D5" s="40">
        <v>97.0</v>
      </c>
      <c r="E5" s="40">
        <v>0.0</v>
      </c>
      <c r="F5" s="40">
        <v>120.3</v>
      </c>
      <c r="G5" s="40">
        <v>0.0</v>
      </c>
    </row>
    <row r="6">
      <c r="A6" s="41">
        <v>46043.0</v>
      </c>
      <c r="B6" s="37">
        <v>78.0</v>
      </c>
      <c r="C6" s="37" t="s">
        <v>245</v>
      </c>
      <c r="D6" s="37">
        <v>68.36</v>
      </c>
      <c r="E6" s="40">
        <v>0.0</v>
      </c>
      <c r="F6" s="40">
        <v>0.0</v>
      </c>
      <c r="G6" s="40">
        <v>0.0</v>
      </c>
    </row>
    <row r="7">
      <c r="A7" s="41">
        <v>46044.0</v>
      </c>
      <c r="B7" s="40">
        <v>0.0</v>
      </c>
      <c r="C7" s="37" t="s">
        <v>245</v>
      </c>
      <c r="D7" s="37">
        <v>58.8</v>
      </c>
      <c r="E7" s="40">
        <v>0.0</v>
      </c>
      <c r="F7" s="40">
        <v>0.0</v>
      </c>
      <c r="G7" s="40">
        <v>0.0</v>
      </c>
    </row>
    <row r="8">
      <c r="A8" s="41">
        <v>46045.0</v>
      </c>
      <c r="B8" s="37">
        <v>86.32</v>
      </c>
      <c r="C8" s="37" t="s">
        <v>245</v>
      </c>
      <c r="D8" s="40">
        <v>0.0</v>
      </c>
      <c r="E8" s="40">
        <v>0.0</v>
      </c>
      <c r="F8" s="40">
        <v>0.0</v>
      </c>
      <c r="G8" s="40">
        <v>0.0</v>
      </c>
    </row>
    <row r="9">
      <c r="A9" s="41">
        <v>46048.0</v>
      </c>
      <c r="B9" s="37">
        <v>132.5</v>
      </c>
      <c r="C9" s="37" t="s">
        <v>245</v>
      </c>
      <c r="D9" s="37">
        <v>68.45</v>
      </c>
      <c r="E9" s="37">
        <v>12.7</v>
      </c>
      <c r="F9" s="37">
        <v>61.69</v>
      </c>
      <c r="G9" s="40">
        <v>0.0</v>
      </c>
    </row>
    <row r="10">
      <c r="A10" s="41">
        <v>46049.0</v>
      </c>
      <c r="B10" s="37">
        <v>72.19</v>
      </c>
      <c r="C10" s="37" t="s">
        <v>245</v>
      </c>
      <c r="D10" s="37">
        <v>46.1</v>
      </c>
      <c r="E10" s="37">
        <v>0.0</v>
      </c>
      <c r="F10" s="37">
        <v>38.55</v>
      </c>
      <c r="G10" s="37">
        <v>89.35</v>
      </c>
    </row>
    <row r="11">
      <c r="A11" s="41">
        <v>46050.0</v>
      </c>
      <c r="B11" s="37">
        <v>45.44</v>
      </c>
      <c r="C11" s="37">
        <v>0.0</v>
      </c>
      <c r="D11" s="37">
        <v>81.41</v>
      </c>
      <c r="E11" s="37">
        <v>0.0</v>
      </c>
      <c r="F11" s="37">
        <v>37.23</v>
      </c>
      <c r="G11" s="37">
        <v>0.0</v>
      </c>
    </row>
    <row r="12">
      <c r="A12" s="41">
        <v>46051.0</v>
      </c>
      <c r="B12" s="37">
        <v>46.5</v>
      </c>
      <c r="C12" s="37">
        <v>0.0</v>
      </c>
      <c r="D12" s="37">
        <v>23.12</v>
      </c>
      <c r="E12" s="37">
        <v>0.0</v>
      </c>
      <c r="F12" s="37">
        <v>26.8</v>
      </c>
      <c r="G12" s="37">
        <v>0.0</v>
      </c>
    </row>
    <row r="13">
      <c r="A13" s="41">
        <v>46052.0</v>
      </c>
      <c r="B13" s="37">
        <v>168.52</v>
      </c>
      <c r="C13" s="37">
        <v>0.0</v>
      </c>
      <c r="D13" s="37">
        <v>28.36</v>
      </c>
      <c r="E13" s="37">
        <v>35.7</v>
      </c>
      <c r="F13" s="37">
        <v>29.1</v>
      </c>
      <c r="G13" s="37">
        <v>0.0</v>
      </c>
    </row>
    <row r="14">
      <c r="A14" s="41">
        <v>46055.0</v>
      </c>
      <c r="B14" s="37">
        <v>256.2</v>
      </c>
      <c r="C14" s="37">
        <v>0.0</v>
      </c>
      <c r="D14" s="37">
        <v>79.2</v>
      </c>
      <c r="E14" s="37">
        <v>0.0</v>
      </c>
      <c r="F14" s="37">
        <v>72.5</v>
      </c>
      <c r="G14" s="37">
        <v>0.0</v>
      </c>
    </row>
    <row r="15">
      <c r="A15" s="41">
        <v>46056.0</v>
      </c>
      <c r="B15" s="37">
        <v>78.15</v>
      </c>
      <c r="C15" s="37">
        <v>0.0</v>
      </c>
      <c r="D15" s="37">
        <v>28.98</v>
      </c>
      <c r="E15" s="37">
        <v>0.0</v>
      </c>
      <c r="F15" s="37">
        <v>0.0</v>
      </c>
      <c r="G15" s="37">
        <v>0.0</v>
      </c>
    </row>
    <row r="16">
      <c r="A16" s="41">
        <v>46057.0</v>
      </c>
      <c r="B16" s="37">
        <v>32.58</v>
      </c>
      <c r="C16" s="37">
        <v>0.0</v>
      </c>
      <c r="D16" s="37">
        <v>14.68</v>
      </c>
      <c r="E16" s="37">
        <v>0.0</v>
      </c>
      <c r="F16" s="37">
        <v>0.0</v>
      </c>
      <c r="G16" s="37">
        <v>30.88</v>
      </c>
    </row>
    <row r="17">
      <c r="A17" s="41">
        <v>46058.0</v>
      </c>
      <c r="B17" s="37">
        <v>48.55</v>
      </c>
      <c r="C17" s="37">
        <v>23.0</v>
      </c>
      <c r="D17" s="37">
        <v>15.75</v>
      </c>
      <c r="E17" s="37">
        <v>0.0</v>
      </c>
      <c r="F17" s="37">
        <v>19.0</v>
      </c>
      <c r="G17" s="37">
        <v>0.0</v>
      </c>
    </row>
    <row r="18">
      <c r="A18" s="41">
        <v>46059.0</v>
      </c>
      <c r="B18" s="37">
        <v>37.1</v>
      </c>
      <c r="C18" s="37">
        <v>0.0</v>
      </c>
      <c r="D18" s="37">
        <v>28.25</v>
      </c>
      <c r="E18" s="37">
        <v>25.89</v>
      </c>
      <c r="F18" s="37">
        <v>27.95</v>
      </c>
      <c r="G18" s="37">
        <v>21.95</v>
      </c>
    </row>
    <row r="19">
      <c r="A19" s="41">
        <v>46062.0</v>
      </c>
      <c r="B19" s="37">
        <v>204.23</v>
      </c>
      <c r="C19" s="37">
        <v>60.29</v>
      </c>
      <c r="D19" s="37">
        <v>56.6</v>
      </c>
      <c r="E19" s="37">
        <v>0.0</v>
      </c>
      <c r="F19" s="37">
        <v>104.3</v>
      </c>
      <c r="G19" s="37">
        <v>40.1</v>
      </c>
    </row>
    <row r="20">
      <c r="A20" s="41">
        <v>46063.0</v>
      </c>
      <c r="B20" s="37">
        <v>86.3</v>
      </c>
      <c r="C20" s="37">
        <v>34.88</v>
      </c>
      <c r="D20" s="37">
        <v>0.0</v>
      </c>
      <c r="E20" s="37">
        <v>0.0</v>
      </c>
      <c r="F20" s="37">
        <v>0.0</v>
      </c>
      <c r="G20" s="37">
        <v>0.0</v>
      </c>
    </row>
    <row r="21">
      <c r="A21" s="41">
        <v>46065.0</v>
      </c>
      <c r="B21" s="37">
        <v>149.73</v>
      </c>
      <c r="C21" s="37">
        <v>0.0</v>
      </c>
      <c r="D21" s="37">
        <v>108.77</v>
      </c>
      <c r="E21" s="37">
        <v>0.0</v>
      </c>
      <c r="F21" s="39"/>
      <c r="G21" s="37">
        <v>0.0</v>
      </c>
    </row>
    <row r="22">
      <c r="A22" s="41">
        <v>46066.0</v>
      </c>
      <c r="B22" s="37">
        <v>79.06</v>
      </c>
      <c r="C22" s="37">
        <v>46.28</v>
      </c>
      <c r="D22" s="37">
        <v>18.86</v>
      </c>
      <c r="E22" s="37">
        <v>0.0</v>
      </c>
      <c r="F22" s="37">
        <v>30.15</v>
      </c>
      <c r="G22" s="37">
        <v>0.0</v>
      </c>
    </row>
    <row r="23">
      <c r="A23" s="41">
        <v>46069.0</v>
      </c>
      <c r="B23" s="37">
        <v>96.3</v>
      </c>
      <c r="C23" s="37">
        <v>101.0</v>
      </c>
      <c r="D23" s="37">
        <v>105.3</v>
      </c>
      <c r="E23" s="37">
        <v>0.0</v>
      </c>
      <c r="F23" s="37">
        <v>78.15</v>
      </c>
      <c r="G23" s="37">
        <v>0.0</v>
      </c>
    </row>
    <row r="24">
      <c r="A24" s="41">
        <v>46071.0</v>
      </c>
      <c r="B24" s="37">
        <v>68.45</v>
      </c>
      <c r="C24" s="37">
        <v>0.0</v>
      </c>
      <c r="D24" s="37">
        <v>30.02</v>
      </c>
      <c r="E24" s="37">
        <v>0.0</v>
      </c>
      <c r="F24" s="37">
        <v>32.4</v>
      </c>
      <c r="G24" s="37">
        <v>78.15</v>
      </c>
    </row>
    <row r="25">
      <c r="A25" s="41">
        <v>46072.0</v>
      </c>
      <c r="B25" s="37">
        <v>86.2</v>
      </c>
      <c r="C25" s="37">
        <v>0.0</v>
      </c>
      <c r="D25" s="37">
        <v>104.55</v>
      </c>
      <c r="E25" s="37">
        <v>0.0</v>
      </c>
      <c r="F25" s="37">
        <v>80.01</v>
      </c>
      <c r="G25" s="37">
        <v>37.2</v>
      </c>
    </row>
    <row r="26">
      <c r="A26" s="41">
        <v>46073.0</v>
      </c>
      <c r="B26" s="37">
        <v>189.22</v>
      </c>
      <c r="C26" s="37">
        <v>91.15</v>
      </c>
      <c r="D26" s="37">
        <v>71.15</v>
      </c>
      <c r="E26" s="37">
        <v>55.63</v>
      </c>
      <c r="F26" s="37">
        <v>0.0</v>
      </c>
      <c r="G26" s="37">
        <v>0.0</v>
      </c>
    </row>
    <row r="27">
      <c r="A27" s="41">
        <v>46076.0</v>
      </c>
      <c r="B27" s="37">
        <v>140.54</v>
      </c>
      <c r="C27" s="37">
        <v>89.2</v>
      </c>
      <c r="D27" s="37">
        <v>150.21</v>
      </c>
      <c r="E27" s="37">
        <v>0.0</v>
      </c>
      <c r="F27" s="37">
        <v>0.0</v>
      </c>
      <c r="G27" s="37">
        <v>78.25</v>
      </c>
    </row>
    <row r="28">
      <c r="A28" s="41">
        <v>46077.0</v>
      </c>
      <c r="B28" s="37">
        <v>48.98</v>
      </c>
      <c r="C28" s="37">
        <v>84.5</v>
      </c>
      <c r="D28" s="37">
        <v>0.0</v>
      </c>
      <c r="E28" s="37">
        <v>0.0</v>
      </c>
      <c r="F28" s="37">
        <v>0.0</v>
      </c>
      <c r="G28" s="37">
        <v>0.0</v>
      </c>
    </row>
    <row r="29">
      <c r="A29" s="41">
        <v>46078.0</v>
      </c>
      <c r="B29" s="37">
        <v>28.1</v>
      </c>
      <c r="C29" s="37">
        <v>40.15</v>
      </c>
      <c r="D29" s="37">
        <v>24.4</v>
      </c>
      <c r="E29" s="37">
        <v>0.0</v>
      </c>
      <c r="F29" s="37">
        <v>26.3</v>
      </c>
      <c r="G29" s="37">
        <v>0.0</v>
      </c>
    </row>
    <row r="30">
      <c r="A30" s="41">
        <v>46079.0</v>
      </c>
      <c r="B30" s="37">
        <v>61.32</v>
      </c>
      <c r="C30" s="37">
        <v>58.73</v>
      </c>
      <c r="D30" s="37">
        <v>0.0</v>
      </c>
      <c r="E30" s="37">
        <v>0.0</v>
      </c>
      <c r="F30" s="37">
        <v>38.9</v>
      </c>
      <c r="G30" s="37">
        <v>0.0</v>
      </c>
    </row>
    <row r="31">
      <c r="A31" s="41">
        <v>46080.0</v>
      </c>
      <c r="B31" s="37">
        <v>38.85</v>
      </c>
      <c r="C31" s="37">
        <v>43.4</v>
      </c>
      <c r="D31" s="37">
        <v>33.95</v>
      </c>
      <c r="E31" s="37">
        <v>0.0</v>
      </c>
      <c r="F31" s="37">
        <v>27.2</v>
      </c>
      <c r="G31" s="37">
        <v>0.0</v>
      </c>
    </row>
    <row r="32">
      <c r="A32" s="41">
        <v>46083.0</v>
      </c>
      <c r="B32" s="37">
        <v>165.08</v>
      </c>
      <c r="C32" s="37">
        <v>162.19</v>
      </c>
      <c r="D32" s="37">
        <v>96.02</v>
      </c>
      <c r="E32" s="37">
        <v>36.05</v>
      </c>
      <c r="F32" s="37">
        <v>24.15</v>
      </c>
      <c r="G32" s="37">
        <v>0.0</v>
      </c>
    </row>
    <row r="33">
      <c r="A33" s="41">
        <v>46084.0</v>
      </c>
      <c r="B33" s="37">
        <v>68.45</v>
      </c>
      <c r="C33" s="37">
        <v>19.1</v>
      </c>
      <c r="D33" s="37">
        <v>29.83</v>
      </c>
      <c r="E33" s="37">
        <v>0.0</v>
      </c>
      <c r="F33" s="37">
        <v>0.0</v>
      </c>
      <c r="G33" s="37">
        <v>0.0</v>
      </c>
    </row>
    <row r="34">
      <c r="A34" s="41">
        <v>46085.0</v>
      </c>
      <c r="B34" s="37">
        <v>33.4</v>
      </c>
      <c r="C34" s="37">
        <v>53.46</v>
      </c>
      <c r="D34" s="37">
        <v>24.9</v>
      </c>
      <c r="E34" s="37">
        <v>0.0</v>
      </c>
      <c r="F34" s="37">
        <v>6.05</v>
      </c>
      <c r="G34" s="37">
        <v>0.0</v>
      </c>
    </row>
    <row r="35">
      <c r="A35" s="41">
        <v>46086.0</v>
      </c>
      <c r="B35" s="37">
        <v>38.1</v>
      </c>
      <c r="C35" s="37">
        <v>62.9</v>
      </c>
      <c r="D35" s="37">
        <v>0.0</v>
      </c>
      <c r="E35" s="37">
        <v>0.0</v>
      </c>
      <c r="F35" s="37">
        <v>23.9</v>
      </c>
      <c r="G35" s="37">
        <v>0.0</v>
      </c>
    </row>
    <row r="36">
      <c r="A36" s="41">
        <v>46090.0</v>
      </c>
      <c r="B36" s="37">
        <v>144.01</v>
      </c>
      <c r="C36" s="37">
        <v>176.7</v>
      </c>
      <c r="D36" s="37">
        <v>97.68</v>
      </c>
      <c r="E36" s="37">
        <v>12.9</v>
      </c>
      <c r="F36" s="37">
        <v>71.75</v>
      </c>
      <c r="G36" s="37">
        <v>100.0</v>
      </c>
    </row>
    <row r="37">
      <c r="A37" s="41">
        <v>46091.0</v>
      </c>
      <c r="B37" s="37">
        <v>0.0</v>
      </c>
      <c r="C37" s="37">
        <v>73.4</v>
      </c>
      <c r="D37" s="37">
        <v>0.0</v>
      </c>
      <c r="E37" s="37">
        <v>0.0</v>
      </c>
      <c r="F37" s="37">
        <v>70.02</v>
      </c>
      <c r="G37" s="37">
        <v>0.0</v>
      </c>
    </row>
    <row r="38">
      <c r="A38" s="41">
        <v>46092.0</v>
      </c>
      <c r="B38" s="37">
        <v>38.15</v>
      </c>
      <c r="C38" s="37">
        <v>37.6</v>
      </c>
      <c r="D38" s="37">
        <v>0.0</v>
      </c>
      <c r="E38" s="37">
        <v>0.0</v>
      </c>
      <c r="F38" s="37">
        <v>19.0</v>
      </c>
      <c r="G38" s="37">
        <v>39.0</v>
      </c>
    </row>
    <row r="39">
      <c r="A39" s="41">
        <v>46093.0</v>
      </c>
      <c r="B39" s="37">
        <v>104.6</v>
      </c>
      <c r="C39" s="37">
        <v>63.45</v>
      </c>
      <c r="D39" s="37">
        <v>0.0</v>
      </c>
      <c r="E39" s="37">
        <v>0.0</v>
      </c>
      <c r="F39" s="37">
        <v>0.0</v>
      </c>
      <c r="G39" s="37">
        <v>0.0</v>
      </c>
    </row>
    <row r="40">
      <c r="A40" s="41">
        <v>46094.0</v>
      </c>
      <c r="B40" s="37">
        <v>0.0</v>
      </c>
      <c r="C40" s="37">
        <v>0.0</v>
      </c>
      <c r="D40" s="37">
        <v>98.9</v>
      </c>
      <c r="E40" s="37">
        <v>0.0</v>
      </c>
      <c r="F40" s="37">
        <v>0.0</v>
      </c>
      <c r="G40" s="37">
        <v>0.0</v>
      </c>
    </row>
    <row r="41">
      <c r="A41" s="41">
        <v>46097.0</v>
      </c>
      <c r="B41" s="37">
        <v>109.15</v>
      </c>
      <c r="C41" s="37">
        <v>36.78</v>
      </c>
      <c r="D41" s="37">
        <v>150.98</v>
      </c>
      <c r="E41" s="37">
        <v>0.0</v>
      </c>
      <c r="F41" s="37">
        <v>11.87</v>
      </c>
      <c r="G41" s="37">
        <v>0.0</v>
      </c>
    </row>
    <row r="42">
      <c r="A42" s="41">
        <v>46098.0</v>
      </c>
      <c r="B42" s="37">
        <v>37.59</v>
      </c>
      <c r="C42" s="37">
        <v>58.15</v>
      </c>
      <c r="D42" s="37">
        <v>21.71</v>
      </c>
      <c r="E42" s="37">
        <v>0.0</v>
      </c>
      <c r="F42" s="37">
        <v>34.35</v>
      </c>
      <c r="G42" s="37">
        <v>0.0</v>
      </c>
    </row>
    <row r="43">
      <c r="A43" s="41">
        <v>46099.0</v>
      </c>
      <c r="B43" s="37">
        <v>41.23</v>
      </c>
      <c r="C43" s="37">
        <v>60.8</v>
      </c>
      <c r="D43" s="37">
        <v>18.98</v>
      </c>
      <c r="E43" s="37">
        <v>20.0</v>
      </c>
      <c r="F43" s="37">
        <v>30.15</v>
      </c>
      <c r="G43" s="39"/>
    </row>
    <row r="44">
      <c r="A44" s="41">
        <v>46100.0</v>
      </c>
      <c r="B44" s="37">
        <v>26.85</v>
      </c>
      <c r="C44" s="37">
        <v>0.0</v>
      </c>
      <c r="D44" s="37">
        <v>26.15</v>
      </c>
      <c r="E44" s="37">
        <v>0.0</v>
      </c>
      <c r="F44" s="37">
        <v>55.2</v>
      </c>
      <c r="G44" s="37">
        <v>0.0</v>
      </c>
    </row>
    <row r="45">
      <c r="A45" s="41">
        <v>46101.0</v>
      </c>
      <c r="B45" s="37">
        <v>0.0</v>
      </c>
      <c r="C45" s="37">
        <v>21.08</v>
      </c>
      <c r="D45" s="37">
        <v>15.17</v>
      </c>
      <c r="E45" s="37">
        <v>0.0</v>
      </c>
      <c r="F45" s="37">
        <v>0.0</v>
      </c>
      <c r="G45" s="37">
        <v>0.0</v>
      </c>
    </row>
    <row r="46">
      <c r="A46" s="41">
        <v>46104.0</v>
      </c>
      <c r="B46" s="37">
        <v>145.49</v>
      </c>
      <c r="C46" s="37">
        <v>56.02</v>
      </c>
      <c r="D46" s="37">
        <v>107.89</v>
      </c>
      <c r="E46" s="37">
        <v>24.2</v>
      </c>
      <c r="F46" s="37">
        <v>103.98</v>
      </c>
      <c r="G46" s="37">
        <v>0.0</v>
      </c>
    </row>
    <row r="47">
      <c r="A47" s="41">
        <v>46105.0</v>
      </c>
      <c r="B47" s="37">
        <v>0.0</v>
      </c>
      <c r="C47" s="37">
        <v>90.28</v>
      </c>
      <c r="D47" s="37">
        <v>50.17</v>
      </c>
      <c r="E47" s="37">
        <v>0.0</v>
      </c>
      <c r="F47" s="37">
        <v>0.0</v>
      </c>
      <c r="G47" s="37">
        <v>0.0</v>
      </c>
    </row>
    <row r="48">
      <c r="A48" s="41">
        <v>46106.0</v>
      </c>
      <c r="B48" s="37">
        <v>101.0</v>
      </c>
      <c r="C48" s="37">
        <v>0.0</v>
      </c>
      <c r="D48" s="37">
        <v>102.33</v>
      </c>
      <c r="E48" s="37">
        <v>0.0</v>
      </c>
      <c r="F48" s="37">
        <v>0.0</v>
      </c>
      <c r="G48" s="37">
        <v>103.2</v>
      </c>
    </row>
    <row r="49">
      <c r="A49" s="41">
        <v>46107.0</v>
      </c>
      <c r="B49" s="37">
        <v>105.3</v>
      </c>
      <c r="C49" s="37">
        <v>0.0</v>
      </c>
      <c r="D49" s="37">
        <v>0.0</v>
      </c>
      <c r="E49" s="37">
        <v>0.0</v>
      </c>
      <c r="F49" s="37">
        <v>104.33</v>
      </c>
      <c r="G49" s="37">
        <v>0.0</v>
      </c>
    </row>
    <row r="50">
      <c r="A50" s="41">
        <v>46108.0</v>
      </c>
      <c r="B50" s="37">
        <v>23.18</v>
      </c>
      <c r="C50" s="37">
        <v>86.49</v>
      </c>
      <c r="D50" s="37">
        <v>55.65</v>
      </c>
      <c r="E50" s="37">
        <v>0.0</v>
      </c>
      <c r="F50" s="37">
        <v>0.0</v>
      </c>
      <c r="G50" s="37">
        <v>0.0</v>
      </c>
    </row>
    <row r="51">
      <c r="A51" s="41">
        <v>46111.0</v>
      </c>
      <c r="B51" s="37">
        <v>73.3</v>
      </c>
      <c r="C51" s="37">
        <v>184.65</v>
      </c>
      <c r="D51" s="37">
        <v>50.65</v>
      </c>
      <c r="E51" s="37">
        <v>20.1</v>
      </c>
      <c r="F51" s="37">
        <v>31.95</v>
      </c>
      <c r="G51" s="37">
        <v>0.0</v>
      </c>
    </row>
    <row r="52">
      <c r="A52" s="41">
        <v>46112.0</v>
      </c>
      <c r="B52" s="37">
        <v>40.86</v>
      </c>
      <c r="C52" s="37">
        <v>14.05</v>
      </c>
      <c r="D52" s="37">
        <v>0.0</v>
      </c>
      <c r="E52" s="37">
        <v>0.0</v>
      </c>
      <c r="F52" s="37">
        <v>0.0</v>
      </c>
      <c r="G52" s="37">
        <v>0.0</v>
      </c>
    </row>
    <row r="53">
      <c r="A53" s="41">
        <v>46113.0</v>
      </c>
      <c r="B53" s="37">
        <v>9.1</v>
      </c>
      <c r="C53" s="37">
        <v>0.0</v>
      </c>
      <c r="D53" s="37">
        <v>54.45</v>
      </c>
      <c r="E53" s="37">
        <v>17.9</v>
      </c>
      <c r="F53" s="37">
        <v>26.9</v>
      </c>
      <c r="G53" s="37">
        <v>0.0</v>
      </c>
    </row>
    <row r="54">
      <c r="A54" s="41">
        <v>46114.0</v>
      </c>
      <c r="B54" s="37">
        <v>43.29</v>
      </c>
      <c r="C54" s="37">
        <v>57.05</v>
      </c>
      <c r="D54" s="37">
        <v>30.77</v>
      </c>
      <c r="E54" s="37">
        <v>26.3</v>
      </c>
      <c r="F54" s="37">
        <v>0.0</v>
      </c>
      <c r="G54" s="37">
        <v>0.0</v>
      </c>
    </row>
    <row r="55">
      <c r="A55" s="41">
        <v>46118.0</v>
      </c>
      <c r="B55" s="37">
        <v>157.43</v>
      </c>
      <c r="C55" s="37">
        <v>194.69</v>
      </c>
      <c r="D55" s="37">
        <v>78.65</v>
      </c>
      <c r="E55" s="37">
        <v>0.0</v>
      </c>
      <c r="F55" s="37">
        <v>20.65</v>
      </c>
      <c r="G55" s="37">
        <v>0.0</v>
      </c>
    </row>
    <row r="56">
      <c r="A56" s="41">
        <v>46120.0</v>
      </c>
      <c r="B56" s="37">
        <v>103.0</v>
      </c>
      <c r="C56" s="37">
        <v>0.0</v>
      </c>
      <c r="D56" s="37">
        <v>0.0</v>
      </c>
      <c r="E56" s="37">
        <v>0.0</v>
      </c>
      <c r="F56" s="37">
        <v>0.0</v>
      </c>
      <c r="G56" s="37">
        <v>0.0</v>
      </c>
    </row>
    <row r="57">
      <c r="A57" s="41">
        <v>46121.0</v>
      </c>
      <c r="B57" s="37">
        <v>60.33</v>
      </c>
      <c r="C57" s="37">
        <v>76.2</v>
      </c>
      <c r="D57" s="37">
        <v>40.01</v>
      </c>
      <c r="E57" s="37">
        <v>0.0</v>
      </c>
      <c r="F57" s="37">
        <v>25.01</v>
      </c>
      <c r="G57" s="37">
        <v>0.0</v>
      </c>
    </row>
    <row r="58">
      <c r="A58" s="41">
        <v>46122.0</v>
      </c>
      <c r="B58" s="37">
        <v>0.0</v>
      </c>
      <c r="C58" s="37">
        <v>27.65</v>
      </c>
      <c r="D58" s="37">
        <v>0.0</v>
      </c>
      <c r="E58" s="37">
        <v>30.75</v>
      </c>
      <c r="F58" s="37">
        <v>40.2</v>
      </c>
      <c r="G58" s="37">
        <v>0.0</v>
      </c>
    </row>
    <row r="59">
      <c r="A59" s="41">
        <v>46125.0</v>
      </c>
      <c r="B59" s="37">
        <v>137.98</v>
      </c>
      <c r="C59" s="37">
        <v>204.25</v>
      </c>
      <c r="D59" s="37">
        <v>25.55</v>
      </c>
      <c r="E59" s="37">
        <v>0.0</v>
      </c>
      <c r="F59" s="37">
        <v>21.4</v>
      </c>
      <c r="G59" s="37">
        <v>0.0</v>
      </c>
    </row>
    <row r="60">
      <c r="A60" s="41">
        <v>46126.0</v>
      </c>
      <c r="B60" s="37">
        <v>24.4</v>
      </c>
      <c r="C60" s="37">
        <v>73.7</v>
      </c>
      <c r="D60" s="37">
        <v>109.14</v>
      </c>
      <c r="E60" s="37">
        <v>26.8</v>
      </c>
      <c r="F60" s="37">
        <v>19.48</v>
      </c>
      <c r="G60" s="37">
        <v>0.0</v>
      </c>
    </row>
    <row r="61">
      <c r="A61" s="41">
        <v>46127.0</v>
      </c>
      <c r="B61" s="37">
        <v>0.0</v>
      </c>
      <c r="C61" s="37">
        <v>101.1</v>
      </c>
      <c r="D61" s="37">
        <v>0.0</v>
      </c>
      <c r="E61" s="37">
        <v>0.0</v>
      </c>
      <c r="F61" s="37">
        <v>0.0</v>
      </c>
      <c r="G61" s="37">
        <v>0.0</v>
      </c>
    </row>
    <row r="62">
      <c r="A62" s="41">
        <v>46128.0</v>
      </c>
      <c r="B62" s="37">
        <v>0.0</v>
      </c>
      <c r="C62" s="37">
        <v>65.98</v>
      </c>
      <c r="D62" s="37">
        <v>58.78</v>
      </c>
      <c r="E62" s="37">
        <v>0.0</v>
      </c>
      <c r="F62" s="37">
        <v>0.0</v>
      </c>
      <c r="G62" s="37">
        <v>0.0</v>
      </c>
    </row>
    <row r="63">
      <c r="A63" s="41">
        <v>46129.0</v>
      </c>
      <c r="B63" s="37">
        <v>167.91</v>
      </c>
      <c r="C63" s="37">
        <v>0.0</v>
      </c>
      <c r="D63" s="37">
        <v>0.0</v>
      </c>
      <c r="E63" s="37">
        <v>0.0</v>
      </c>
      <c r="F63" s="37">
        <v>0.0</v>
      </c>
      <c r="G63" s="37">
        <v>0.0</v>
      </c>
    </row>
    <row r="64">
      <c r="A64" s="41">
        <v>46132.0</v>
      </c>
      <c r="B64" s="37">
        <v>100.03</v>
      </c>
      <c r="C64" s="37">
        <v>51.77</v>
      </c>
      <c r="D64" s="37">
        <v>104.33</v>
      </c>
      <c r="E64" s="37">
        <v>0.0</v>
      </c>
      <c r="F64" s="37">
        <v>49.2</v>
      </c>
      <c r="G64" s="37">
        <v>101.2</v>
      </c>
    </row>
    <row r="65">
      <c r="A65" s="41">
        <v>46134.0</v>
      </c>
      <c r="B65" s="37">
        <v>80.65</v>
      </c>
      <c r="C65" s="37">
        <v>104.49</v>
      </c>
      <c r="D65" s="37">
        <v>76.15</v>
      </c>
      <c r="E65" s="37">
        <v>27.58</v>
      </c>
      <c r="F65" s="37">
        <v>101.56</v>
      </c>
      <c r="G65" s="37">
        <v>0.0</v>
      </c>
    </row>
    <row r="66">
      <c r="A66" s="41">
        <v>46135.0</v>
      </c>
      <c r="B66" s="37">
        <v>38.3</v>
      </c>
      <c r="C66" s="37">
        <v>40.85</v>
      </c>
      <c r="D66" s="37">
        <v>0.0</v>
      </c>
      <c r="E66" s="37">
        <v>0.0</v>
      </c>
      <c r="F66" s="37">
        <v>100.2</v>
      </c>
      <c r="G66" s="37">
        <v>0.0</v>
      </c>
    </row>
    <row r="67">
      <c r="A67" s="41">
        <v>46136.0</v>
      </c>
      <c r="B67" s="37">
        <v>72.78</v>
      </c>
      <c r="C67" s="37">
        <v>33.01</v>
      </c>
      <c r="D67" s="37">
        <v>100.0</v>
      </c>
      <c r="E67" s="37">
        <v>0.0</v>
      </c>
      <c r="F67" s="37">
        <v>0.0</v>
      </c>
      <c r="G67" s="37">
        <v>0.0</v>
      </c>
    </row>
    <row r="68">
      <c r="A68" s="41">
        <v>46139.0</v>
      </c>
      <c r="B68" s="37">
        <v>80.89</v>
      </c>
      <c r="C68" s="37">
        <v>52.78</v>
      </c>
      <c r="D68" s="37">
        <v>0.0</v>
      </c>
      <c r="E68" s="37">
        <v>0.0</v>
      </c>
      <c r="F68" s="37">
        <v>55.4</v>
      </c>
      <c r="G68" s="37">
        <v>0.0</v>
      </c>
    </row>
    <row r="69">
      <c r="A69" s="41">
        <v>46140.0</v>
      </c>
      <c r="B69" s="37">
        <v>0.0</v>
      </c>
      <c r="C69" s="37">
        <v>67.08</v>
      </c>
      <c r="D69" s="37">
        <v>27.59</v>
      </c>
      <c r="E69" s="37">
        <v>0.0</v>
      </c>
      <c r="F69" s="37">
        <v>71.23</v>
      </c>
      <c r="G69" s="37">
        <v>18.78</v>
      </c>
    </row>
    <row r="70">
      <c r="A70" s="41">
        <v>46141.0</v>
      </c>
      <c r="B70" s="37">
        <v>54.85</v>
      </c>
      <c r="C70" s="37">
        <v>58.25</v>
      </c>
      <c r="D70" s="37">
        <v>31.65</v>
      </c>
      <c r="E70" s="37">
        <v>0.0</v>
      </c>
      <c r="F70" s="37">
        <v>0.0</v>
      </c>
      <c r="G70" s="37">
        <v>0.0</v>
      </c>
    </row>
    <row r="71">
      <c r="A71" s="41">
        <v>46142.0</v>
      </c>
      <c r="B71" s="37">
        <v>115.3</v>
      </c>
      <c r="C71" s="37">
        <v>30.95</v>
      </c>
      <c r="D71" s="37">
        <v>28.35</v>
      </c>
      <c r="E71" s="37">
        <v>0.0</v>
      </c>
      <c r="F71" s="37">
        <v>113.0</v>
      </c>
      <c r="G71" s="37">
        <v>0.0</v>
      </c>
    </row>
    <row r="72">
      <c r="A72" s="42">
        <v>46147.0</v>
      </c>
      <c r="B72" s="37">
        <v>104.6</v>
      </c>
      <c r="C72" s="37">
        <v>272.7</v>
      </c>
      <c r="D72" s="37">
        <v>188.21</v>
      </c>
      <c r="E72" s="37">
        <v>0.0</v>
      </c>
      <c r="F72" s="37">
        <v>14.0</v>
      </c>
      <c r="G72" s="37">
        <v>0.0</v>
      </c>
    </row>
    <row r="73">
      <c r="A73" s="42">
        <v>46149.0</v>
      </c>
      <c r="B73" s="37">
        <v>58.72</v>
      </c>
      <c r="C73" s="37">
        <v>44.2</v>
      </c>
      <c r="D73" s="37">
        <v>91.03</v>
      </c>
      <c r="E73" s="37">
        <v>0.0</v>
      </c>
      <c r="F73" s="37">
        <v>36.1</v>
      </c>
      <c r="G73" s="37">
        <v>0.0</v>
      </c>
    </row>
    <row r="74">
      <c r="A74" s="42">
        <v>46150.0</v>
      </c>
      <c r="B74" s="37">
        <v>39.02</v>
      </c>
      <c r="C74" s="37">
        <v>49.2</v>
      </c>
      <c r="D74" s="37">
        <v>58.98</v>
      </c>
      <c r="E74" s="37">
        <v>0.0</v>
      </c>
      <c r="F74" s="37">
        <v>20.0</v>
      </c>
      <c r="G74" s="37">
        <v>0.0</v>
      </c>
    </row>
    <row r="75">
      <c r="A75" s="42">
        <v>46155.0</v>
      </c>
      <c r="B75" s="37">
        <v>78.1</v>
      </c>
      <c r="C75" s="37">
        <v>224.75</v>
      </c>
      <c r="D75" s="37">
        <v>50.7</v>
      </c>
      <c r="E75" s="37">
        <v>0.0</v>
      </c>
      <c r="F75" s="37">
        <v>87.5</v>
      </c>
      <c r="G75" s="37">
        <v>0.0</v>
      </c>
    </row>
    <row r="76">
      <c r="A76" s="42">
        <v>46157.0</v>
      </c>
      <c r="B76" s="37">
        <v>31.3</v>
      </c>
      <c r="C76" s="37">
        <v>64.05</v>
      </c>
      <c r="D76" s="37">
        <v>52.2</v>
      </c>
      <c r="E76" s="37">
        <v>34.8</v>
      </c>
      <c r="F76" s="37">
        <v>180.1</v>
      </c>
      <c r="G76" s="37">
        <v>58.9</v>
      </c>
    </row>
    <row r="77">
      <c r="A77" s="42">
        <v>46160.0</v>
      </c>
      <c r="B77" s="37">
        <v>87.35</v>
      </c>
      <c r="C77" s="37">
        <v>173.7</v>
      </c>
      <c r="D77" s="37">
        <v>72.7</v>
      </c>
      <c r="E77" s="37">
        <v>27.3</v>
      </c>
      <c r="F77" s="37">
        <v>22.65</v>
      </c>
      <c r="G77" s="37">
        <v>0.0</v>
      </c>
    </row>
    <row r="78">
      <c r="A78" s="42">
        <v>46162.0</v>
      </c>
      <c r="B78" s="37">
        <v>62.8</v>
      </c>
      <c r="C78" s="37">
        <v>93.4</v>
      </c>
      <c r="D78" s="37">
        <v>41.7</v>
      </c>
      <c r="E78" s="37">
        <v>0.0</v>
      </c>
      <c r="F78" s="37">
        <v>93.65</v>
      </c>
      <c r="G78" s="37">
        <v>44.0</v>
      </c>
    </row>
    <row r="79">
      <c r="A79" s="42">
        <v>46164.0</v>
      </c>
      <c r="B79" s="37">
        <v>91.35</v>
      </c>
      <c r="C79" s="37">
        <v>155.75</v>
      </c>
      <c r="D79" s="37">
        <v>13.85</v>
      </c>
      <c r="E79" s="37">
        <v>45.67</v>
      </c>
      <c r="F79" s="37">
        <v>0.0</v>
      </c>
      <c r="G79" s="37">
        <v>68.32</v>
      </c>
    </row>
    <row r="80">
      <c r="A80" s="42">
        <v>46167.0</v>
      </c>
      <c r="B80" s="37">
        <v>191.83</v>
      </c>
      <c r="C80" s="37">
        <v>134.74</v>
      </c>
      <c r="D80" s="37">
        <v>61.9</v>
      </c>
      <c r="E80" s="37">
        <v>0.0</v>
      </c>
      <c r="F80" s="37">
        <v>0.0</v>
      </c>
      <c r="G80" s="37">
        <v>100.32</v>
      </c>
    </row>
    <row r="81">
      <c r="A81" s="42">
        <v>46169.0</v>
      </c>
      <c r="B81" s="37">
        <v>105.1</v>
      </c>
      <c r="C81" s="37">
        <v>104.3</v>
      </c>
      <c r="D81" s="37">
        <v>103.0</v>
      </c>
      <c r="E81" s="37">
        <v>18.76</v>
      </c>
      <c r="F81" s="37">
        <v>102.5</v>
      </c>
      <c r="G81" s="37">
        <v>0.0</v>
      </c>
    </row>
    <row r="82">
      <c r="A82" s="42">
        <v>46170.0</v>
      </c>
      <c r="B82" s="37">
        <v>110.69</v>
      </c>
      <c r="C82" s="37">
        <v>185.76</v>
      </c>
      <c r="D82" s="37">
        <v>50.55</v>
      </c>
      <c r="E82" s="37">
        <v>70.1</v>
      </c>
      <c r="F82" s="37">
        <v>31.42</v>
      </c>
      <c r="G82" s="37">
        <v>32.6</v>
      </c>
    </row>
    <row r="83">
      <c r="A83" s="42">
        <v>46171.0</v>
      </c>
      <c r="B83" s="37">
        <v>123.35</v>
      </c>
      <c r="C83" s="37">
        <v>114.98</v>
      </c>
      <c r="D83" s="37">
        <v>0.0</v>
      </c>
      <c r="E83" s="37">
        <v>0.0</v>
      </c>
      <c r="F83" s="37">
        <v>0.0</v>
      </c>
      <c r="G83" s="37">
        <v>0.0</v>
      </c>
    </row>
    <row r="84">
      <c r="A84" s="42">
        <v>46174.0</v>
      </c>
      <c r="B84" s="37">
        <v>105.08</v>
      </c>
      <c r="C84" s="37">
        <v>104.97</v>
      </c>
      <c r="D84" s="37">
        <v>125.3</v>
      </c>
      <c r="E84" s="37">
        <v>0.0</v>
      </c>
      <c r="F84" s="37">
        <v>115.5</v>
      </c>
      <c r="G84" s="37">
        <v>0.0</v>
      </c>
    </row>
    <row r="85">
      <c r="A85" s="42">
        <v>46176.0</v>
      </c>
      <c r="B85" s="37">
        <v>107.77</v>
      </c>
      <c r="C85" s="37">
        <v>123.23</v>
      </c>
      <c r="D85" s="37">
        <v>0.0</v>
      </c>
      <c r="E85" s="37">
        <v>22.33</v>
      </c>
      <c r="F85" s="37">
        <v>0.0</v>
      </c>
      <c r="G85" s="37">
        <v>0.0</v>
      </c>
    </row>
    <row r="86">
      <c r="A86" s="42">
        <v>46178.0</v>
      </c>
      <c r="B86" s="37">
        <v>105.0</v>
      </c>
      <c r="C86" s="37">
        <v>0.0</v>
      </c>
      <c r="D86" s="37">
        <v>91.18</v>
      </c>
      <c r="E86" s="37">
        <v>12.02</v>
      </c>
      <c r="F86" s="37">
        <v>57.44</v>
      </c>
      <c r="G86" s="37">
        <v>48.98</v>
      </c>
    </row>
    <row r="87">
      <c r="A87" s="42">
        <v>46181.0</v>
      </c>
      <c r="B87" s="37">
        <v>81.93</v>
      </c>
      <c r="C87" s="37">
        <v>82.36</v>
      </c>
      <c r="D87" s="37">
        <v>74.99</v>
      </c>
      <c r="E87" s="37">
        <v>37.89</v>
      </c>
      <c r="F87" s="37">
        <v>53.23</v>
      </c>
      <c r="G87" s="37">
        <v>67.28</v>
      </c>
    </row>
    <row r="88">
      <c r="A88" s="42">
        <v>46184.0</v>
      </c>
      <c r="B88" s="37">
        <v>102.8</v>
      </c>
      <c r="C88" s="37">
        <v>191.5</v>
      </c>
      <c r="D88" s="37">
        <v>51.9</v>
      </c>
      <c r="E88" s="37">
        <v>47.9</v>
      </c>
      <c r="F88" s="37">
        <v>0.0</v>
      </c>
      <c r="G88" s="37">
        <v>0.0</v>
      </c>
    </row>
    <row r="89">
      <c r="A89" s="42">
        <v>46185.0</v>
      </c>
      <c r="B89" s="37">
        <v>95.2</v>
      </c>
      <c r="C89" s="37">
        <v>0.0</v>
      </c>
      <c r="D89" s="37">
        <v>83.0</v>
      </c>
      <c r="E89" s="37">
        <v>0.0</v>
      </c>
      <c r="F89" s="37">
        <v>98.9</v>
      </c>
      <c r="G89" s="37">
        <v>101.2</v>
      </c>
    </row>
    <row r="90">
      <c r="A90" s="42">
        <v>46188.0</v>
      </c>
      <c r="B90" s="37">
        <v>123.1</v>
      </c>
      <c r="C90" s="37">
        <v>111.4</v>
      </c>
      <c r="D90" s="37">
        <v>120.6</v>
      </c>
      <c r="E90" s="37">
        <v>27.89</v>
      </c>
      <c r="F90" s="37">
        <v>0.0</v>
      </c>
      <c r="G90" s="37">
        <v>133.3</v>
      </c>
    </row>
    <row r="91">
      <c r="A91" s="42">
        <v>46192.0</v>
      </c>
      <c r="B91" s="37">
        <v>101.3</v>
      </c>
      <c r="C91" s="37">
        <v>102.36</v>
      </c>
      <c r="D91" s="37">
        <v>111.3</v>
      </c>
      <c r="E91" s="37">
        <v>0.0</v>
      </c>
      <c r="F91" s="37">
        <v>0.0</v>
      </c>
      <c r="G91" s="37">
        <v>103.5</v>
      </c>
    </row>
    <row r="92">
      <c r="A92" s="42">
        <v>46195.0</v>
      </c>
      <c r="B92" s="37">
        <v>120.3</v>
      </c>
      <c r="C92" s="37">
        <v>133.6</v>
      </c>
      <c r="D92" s="37">
        <v>145.6</v>
      </c>
      <c r="E92" s="37">
        <v>0.0</v>
      </c>
      <c r="F92" s="37">
        <v>110.3</v>
      </c>
      <c r="G92" s="37">
        <v>0.0</v>
      </c>
    </row>
    <row r="93">
      <c r="A93" s="42">
        <v>46198.0</v>
      </c>
      <c r="B93" s="37">
        <v>122.3</v>
      </c>
      <c r="C93" s="37">
        <v>0.0</v>
      </c>
      <c r="D93" s="37">
        <v>0.0</v>
      </c>
      <c r="E93" s="37">
        <v>0.0</v>
      </c>
      <c r="F93" s="37">
        <v>115.6</v>
      </c>
      <c r="G93" s="37">
        <v>122.2</v>
      </c>
    </row>
    <row r="94">
      <c r="A94" s="42">
        <v>46199.0</v>
      </c>
      <c r="B94" s="37">
        <v>100.0</v>
      </c>
      <c r="C94" s="37">
        <v>115.3</v>
      </c>
      <c r="D94" s="37">
        <v>110.2</v>
      </c>
      <c r="E94" s="37">
        <v>0.0</v>
      </c>
      <c r="F94" s="37">
        <v>0.0</v>
      </c>
      <c r="G94" s="37">
        <v>0.0</v>
      </c>
    </row>
    <row r="95">
      <c r="A95" s="42">
        <v>46202.0</v>
      </c>
      <c r="B95" s="37">
        <v>125.01</v>
      </c>
      <c r="C95" s="37">
        <v>122.06</v>
      </c>
      <c r="D95" s="37">
        <v>128.89</v>
      </c>
      <c r="E95" s="37">
        <v>0.0</v>
      </c>
      <c r="F95" s="37">
        <v>120.0</v>
      </c>
      <c r="G95" s="37">
        <v>124.04</v>
      </c>
    </row>
    <row r="96">
      <c r="A96" s="34">
        <v>46204.0</v>
      </c>
      <c r="B96" s="37">
        <v>80.0</v>
      </c>
      <c r="C96" s="37">
        <v>115.3</v>
      </c>
      <c r="D96" s="37">
        <v>103.2</v>
      </c>
      <c r="E96" s="37">
        <v>0.0</v>
      </c>
      <c r="F96" s="37">
        <v>39.25</v>
      </c>
      <c r="G96" s="37">
        <v>0.0</v>
      </c>
    </row>
    <row r="97">
      <c r="A97" s="34">
        <v>46206.0</v>
      </c>
      <c r="B97" s="37">
        <v>54.32</v>
      </c>
      <c r="C97" s="37">
        <v>68.03</v>
      </c>
      <c r="D97" s="37">
        <v>62.03</v>
      </c>
      <c r="E97" s="37">
        <v>35.67</v>
      </c>
      <c r="F97" s="37">
        <v>80.07</v>
      </c>
      <c r="G97" s="37">
        <v>60.32</v>
      </c>
    </row>
    <row r="98">
      <c r="A98" s="34">
        <v>46209.0</v>
      </c>
      <c r="B98" s="37">
        <v>125.55</v>
      </c>
      <c r="C98" s="37">
        <v>115.19</v>
      </c>
      <c r="D98" s="37">
        <v>0.0</v>
      </c>
      <c r="E98" s="37">
        <v>0.0</v>
      </c>
      <c r="F98" s="37">
        <v>0.0</v>
      </c>
      <c r="G98" s="37">
        <v>0.0</v>
      </c>
    </row>
    <row r="99">
      <c r="A99" s="34">
        <v>46210.0</v>
      </c>
      <c r="B99" s="37">
        <v>57.87</v>
      </c>
      <c r="C99" s="37">
        <v>51.6</v>
      </c>
      <c r="D99" s="37">
        <v>38.4</v>
      </c>
      <c r="E99" s="37">
        <v>0.0</v>
      </c>
      <c r="F99" s="37">
        <v>115.33</v>
      </c>
      <c r="G99" s="37">
        <v>0.0</v>
      </c>
    </row>
    <row r="100">
      <c r="A100" s="34">
        <v>46211.0</v>
      </c>
      <c r="B100" s="37">
        <v>122.91</v>
      </c>
      <c r="C100" s="37">
        <v>95.32</v>
      </c>
      <c r="D100" s="37">
        <v>122.0</v>
      </c>
      <c r="E100" s="37">
        <v>27.59</v>
      </c>
      <c r="F100" s="37">
        <v>121.33</v>
      </c>
      <c r="G100" s="37">
        <v>0.0</v>
      </c>
    </row>
    <row r="101">
      <c r="A101" s="34">
        <v>46212.0</v>
      </c>
      <c r="B101" s="37">
        <v>105.26</v>
      </c>
      <c r="C101" s="37">
        <v>0.0</v>
      </c>
      <c r="D101" s="37">
        <v>106.0</v>
      </c>
      <c r="E101" s="37">
        <v>0.0</v>
      </c>
      <c r="F101" s="37">
        <v>0.0</v>
      </c>
      <c r="G101" s="37">
        <v>0.0</v>
      </c>
    </row>
    <row r="102">
      <c r="A102" s="34">
        <v>46216.0</v>
      </c>
      <c r="B102" s="37">
        <v>118.95</v>
      </c>
      <c r="C102" s="37">
        <v>125.03</v>
      </c>
      <c r="D102" s="37">
        <v>0.0</v>
      </c>
      <c r="E102" s="37">
        <v>38.78</v>
      </c>
      <c r="F102" s="37">
        <v>114.33</v>
      </c>
      <c r="G102" s="37">
        <v>83.22</v>
      </c>
    </row>
    <row r="103">
      <c r="A103" s="34">
        <v>46218.0</v>
      </c>
      <c r="B103" s="37">
        <v>113.66</v>
      </c>
      <c r="C103" s="37">
        <v>115.08</v>
      </c>
      <c r="D103" s="37">
        <v>0.0</v>
      </c>
      <c r="E103" s="37">
        <v>0.0</v>
      </c>
      <c r="F103" s="37">
        <v>0.0</v>
      </c>
      <c r="G103" s="37">
        <v>0.0</v>
      </c>
    </row>
    <row r="104">
      <c r="A104" s="34">
        <v>46220.0</v>
      </c>
      <c r="B104" s="37">
        <v>101.56</v>
      </c>
      <c r="C104" s="37">
        <v>102.35</v>
      </c>
      <c r="D104" s="37">
        <v>101.69</v>
      </c>
      <c r="E104" s="37">
        <v>45.0</v>
      </c>
      <c r="F104" s="37">
        <v>106.35</v>
      </c>
      <c r="G104" s="37">
        <v>65.14</v>
      </c>
    </row>
    <row r="105">
      <c r="A105" s="34">
        <v>46223.0</v>
      </c>
      <c r="B105" s="37">
        <v>125.87</v>
      </c>
      <c r="C105" s="37">
        <v>120.0</v>
      </c>
      <c r="D105" s="37">
        <v>96.6</v>
      </c>
      <c r="E105" s="37">
        <v>35.9</v>
      </c>
      <c r="F105" s="37">
        <v>0.0</v>
      </c>
      <c r="G105" s="37">
        <v>18.98</v>
      </c>
    </row>
    <row r="106">
      <c r="A106" s="34">
        <v>46225.0</v>
      </c>
      <c r="B106" s="37">
        <v>116.0</v>
      </c>
      <c r="C106" s="37">
        <v>0.0</v>
      </c>
      <c r="D106" s="37">
        <v>115.5</v>
      </c>
      <c r="E106" s="37">
        <v>0.0</v>
      </c>
      <c r="F106" s="37">
        <v>0.0</v>
      </c>
      <c r="G106" s="37">
        <v>0.0</v>
      </c>
    </row>
    <row r="107">
      <c r="A107" s="34">
        <v>46226.0</v>
      </c>
      <c r="B107" s="37">
        <v>121.0</v>
      </c>
      <c r="C107" s="37">
        <v>115.0</v>
      </c>
      <c r="D107" s="37">
        <v>115.5</v>
      </c>
      <c r="E107" s="37">
        <v>0.0</v>
      </c>
      <c r="F107" s="37">
        <v>120.3</v>
      </c>
      <c r="G107" s="37">
        <v>0.0</v>
      </c>
    </row>
    <row r="108">
      <c r="A108" s="34">
        <v>46227.0</v>
      </c>
      <c r="B108" s="37">
        <v>101.22</v>
      </c>
      <c r="C108" s="37">
        <v>65.78</v>
      </c>
      <c r="D108" s="37">
        <v>120.88</v>
      </c>
      <c r="E108" s="37">
        <v>0.0</v>
      </c>
      <c r="F108" s="37">
        <v>38.9</v>
      </c>
      <c r="G108" s="37">
        <v>43.56</v>
      </c>
    </row>
    <row r="109">
      <c r="A109" s="34">
        <v>46230.0</v>
      </c>
      <c r="B109" s="37">
        <v>109.15</v>
      </c>
      <c r="C109" s="37">
        <v>120.55</v>
      </c>
      <c r="D109" s="37">
        <v>65.32</v>
      </c>
      <c r="E109" s="37">
        <v>17.28</v>
      </c>
      <c r="F109" s="37">
        <v>22.3</v>
      </c>
      <c r="G109" s="37">
        <v>15.4</v>
      </c>
    </row>
    <row r="110">
      <c r="A110" s="34">
        <v>46232.0</v>
      </c>
      <c r="B110" s="37">
        <v>118.63</v>
      </c>
      <c r="C110" s="37">
        <v>100.0</v>
      </c>
      <c r="D110" s="37">
        <v>0.0</v>
      </c>
      <c r="E110" s="37">
        <v>0.0</v>
      </c>
      <c r="F110" s="37">
        <v>100.3</v>
      </c>
      <c r="G110" s="37">
        <v>28.2</v>
      </c>
    </row>
    <row r="111">
      <c r="A111" s="34">
        <v>46234.0</v>
      </c>
      <c r="B111" s="37">
        <v>130.0</v>
      </c>
      <c r="C111" s="37">
        <v>123.09</v>
      </c>
      <c r="D111" s="37">
        <v>129.35</v>
      </c>
      <c r="E111" s="37">
        <v>0.0</v>
      </c>
      <c r="F111" s="37">
        <v>0.0</v>
      </c>
      <c r="G111" s="37">
        <v>0.0</v>
      </c>
    </row>
    <row r="112">
      <c r="A112" s="34"/>
      <c r="B112" s="29" t="s">
        <v>212</v>
      </c>
      <c r="C112" s="30" t="s">
        <v>213</v>
      </c>
      <c r="D112" s="28" t="s">
        <v>214</v>
      </c>
      <c r="E112" s="28" t="s">
        <v>216</v>
      </c>
      <c r="F112" s="29" t="s">
        <v>217</v>
      </c>
      <c r="G112" s="31" t="s">
        <v>218</v>
      </c>
    </row>
    <row r="113">
      <c r="A113" s="42">
        <v>46237.0</v>
      </c>
      <c r="B113" s="37">
        <v>80.0</v>
      </c>
      <c r="C113" s="37">
        <v>80.0</v>
      </c>
      <c r="D113" s="37">
        <v>0.0</v>
      </c>
      <c r="E113" s="37">
        <v>15.0</v>
      </c>
      <c r="F113" s="37">
        <v>80.0</v>
      </c>
      <c r="G113" s="37">
        <v>0.0</v>
      </c>
    </row>
    <row r="114">
      <c r="A114" s="42">
        <v>46239.0</v>
      </c>
      <c r="B114" s="37">
        <v>47.0</v>
      </c>
      <c r="C114" s="37">
        <v>141.0</v>
      </c>
      <c r="D114" s="37">
        <v>68.0</v>
      </c>
      <c r="E114" s="37">
        <v>0.0</v>
      </c>
      <c r="F114" s="37">
        <v>15.0</v>
      </c>
      <c r="G114" s="37">
        <v>0.0</v>
      </c>
    </row>
    <row r="115">
      <c r="A115" s="42">
        <v>46241.0</v>
      </c>
      <c r="B115" s="37">
        <v>122.0</v>
      </c>
      <c r="C115" s="39"/>
      <c r="D115" s="37">
        <v>165.0</v>
      </c>
      <c r="E115" s="37">
        <v>40.0</v>
      </c>
      <c r="F115" s="37"/>
      <c r="G115" s="37">
        <v>55.0</v>
      </c>
    </row>
    <row r="116">
      <c r="A116" s="42">
        <v>46244.0</v>
      </c>
      <c r="B116" s="37">
        <v>70.0</v>
      </c>
      <c r="C116" s="37">
        <v>172.0</v>
      </c>
      <c r="D116" s="37">
        <v>65.0</v>
      </c>
      <c r="E116" s="39"/>
      <c r="F116" s="37">
        <v>78.0</v>
      </c>
      <c r="G116" s="37">
        <v>76.0</v>
      </c>
    </row>
    <row r="117">
      <c r="A117" s="42">
        <v>46246.0</v>
      </c>
      <c r="B117" s="37">
        <v>57.0</v>
      </c>
      <c r="C117" s="37">
        <v>154.0</v>
      </c>
      <c r="D117" s="37">
        <v>70.0</v>
      </c>
      <c r="E117" s="37">
        <v>0.0</v>
      </c>
      <c r="F117" s="37">
        <v>15.0</v>
      </c>
      <c r="G117" s="37">
        <v>0.0</v>
      </c>
    </row>
    <row r="118">
      <c r="A118" s="42">
        <v>46248.0</v>
      </c>
      <c r="B118" s="37">
        <v>75.0</v>
      </c>
      <c r="C118" s="37">
        <v>83.0</v>
      </c>
      <c r="D118" s="37">
        <v>80.0</v>
      </c>
      <c r="E118" s="37">
        <v>0.0</v>
      </c>
      <c r="F118" s="37">
        <v>35.0</v>
      </c>
      <c r="G118" s="37">
        <v>87.0</v>
      </c>
    </row>
    <row r="119">
      <c r="A119" s="39"/>
      <c r="B119" s="39"/>
      <c r="C119" s="39"/>
      <c r="D119" s="39"/>
      <c r="E119" s="39"/>
      <c r="F119" s="39"/>
      <c r="G119" s="39"/>
    </row>
    <row r="120">
      <c r="A120" s="39"/>
      <c r="B120" s="39"/>
      <c r="C120" s="39"/>
      <c r="D120" s="39"/>
      <c r="E120" s="39"/>
      <c r="F120" s="39"/>
      <c r="G120" s="39"/>
    </row>
    <row r="121">
      <c r="A121" s="39"/>
      <c r="B121" s="39"/>
      <c r="C121" s="39"/>
      <c r="D121" s="39"/>
      <c r="E121" s="39"/>
      <c r="F121" s="39"/>
      <c r="G121" s="39"/>
    </row>
    <row r="122">
      <c r="A122" s="39"/>
      <c r="B122" s="39"/>
      <c r="C122" s="39"/>
      <c r="D122" s="39"/>
      <c r="E122" s="39"/>
      <c r="F122" s="39"/>
      <c r="G122" s="39"/>
    </row>
    <row r="123">
      <c r="A123" s="39"/>
      <c r="B123" s="39"/>
      <c r="C123" s="39"/>
      <c r="D123" s="39"/>
      <c r="E123" s="39"/>
      <c r="F123" s="39"/>
      <c r="G123" s="39"/>
    </row>
    <row r="124">
      <c r="A124" s="39"/>
      <c r="B124" s="39"/>
      <c r="C124" s="39"/>
      <c r="D124" s="39"/>
      <c r="E124" s="39"/>
      <c r="F124" s="39"/>
      <c r="G124" s="39"/>
    </row>
    <row r="125">
      <c r="A125" s="39"/>
      <c r="B125" s="39"/>
      <c r="C125" s="39"/>
      <c r="D125" s="39"/>
      <c r="E125" s="39"/>
      <c r="F125" s="39"/>
      <c r="G125" s="39"/>
    </row>
    <row r="126">
      <c r="A126" s="39"/>
      <c r="B126" s="39"/>
      <c r="C126" s="39"/>
      <c r="D126" s="39"/>
      <c r="E126" s="39"/>
      <c r="F126" s="39"/>
      <c r="G126" s="39"/>
    </row>
    <row r="127">
      <c r="A127" s="39"/>
      <c r="B127" s="39"/>
      <c r="C127" s="39"/>
      <c r="D127" s="39"/>
      <c r="E127" s="39"/>
      <c r="F127" s="39"/>
      <c r="G127" s="39"/>
    </row>
    <row r="128">
      <c r="A128" s="39"/>
      <c r="B128" s="39"/>
      <c r="C128" s="39"/>
      <c r="D128" s="39"/>
      <c r="E128" s="39"/>
      <c r="F128" s="39"/>
      <c r="G128" s="39"/>
    </row>
    <row r="129">
      <c r="A129" s="39"/>
      <c r="B129" s="39"/>
      <c r="C129" s="39"/>
      <c r="D129" s="39"/>
      <c r="E129" s="39"/>
      <c r="F129" s="39"/>
      <c r="G129" s="39"/>
    </row>
    <row r="130">
      <c r="A130" s="39"/>
      <c r="B130" s="39"/>
      <c r="C130" s="39"/>
      <c r="D130" s="39"/>
      <c r="E130" s="39"/>
      <c r="F130" s="39"/>
      <c r="G130" s="39"/>
    </row>
    <row r="131">
      <c r="A131" s="39"/>
      <c r="B131" s="39"/>
      <c r="C131" s="39"/>
      <c r="D131" s="39"/>
      <c r="E131" s="39"/>
      <c r="G131" s="3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5" t="s">
        <v>276</v>
      </c>
      <c r="B2" s="46" t="s">
        <v>279</v>
      </c>
      <c r="C2" s="37" t="s">
        <v>280</v>
      </c>
      <c r="D2" s="47" t="s">
        <v>282</v>
      </c>
      <c r="E2" s="47" t="s">
        <v>284</v>
      </c>
    </row>
    <row r="3">
      <c r="A3" s="45" t="s">
        <v>285</v>
      </c>
      <c r="B3" s="48">
        <v>2602.82</v>
      </c>
      <c r="C3" s="37" t="s">
        <v>286</v>
      </c>
      <c r="D3" s="49">
        <f>SUM('Acompanhamento Compostagem Alvo'!E765+'Acompanhamento Compostagem Alvo'!E767+'Acompanhamento Compostagem Alvo'!E770+'Acompanhamento Compostagem Alvo'!E779+'Acompanhamento Compostagem Alvo'!E784+'Acompanhamento Compostagem Alvo'!E791+'Acompanhamento Compostagem Alvo'!E792+'Acompanhamento Compostagem Alvo'!E801+'Acompanhamento Compostagem Alvo'!E807+'Acompanhamento Compostagem Alvo'!E833)</f>
        <v>681.69</v>
      </c>
      <c r="E3" s="50">
        <v>46108.0</v>
      </c>
    </row>
    <row r="4">
      <c r="A4" s="45" t="s">
        <v>287</v>
      </c>
      <c r="B4" s="48">
        <v>2481.65</v>
      </c>
      <c r="C4" s="37" t="s">
        <v>286</v>
      </c>
      <c r="D4" s="51">
        <f>SUM('Acompanhamento Compostagem Alvo'!E761+'Acompanhamento Compostagem Alvo'!E768+'Acompanhamento Compostagem Alvo'!E771+'Acompanhamento Compostagem Alvo'!E785+'Acompanhamento Compostagem Alvo'!E802+'Acompanhamento Compostagem Alvo'!E834+'Acompanhamento Compostagem Alvo'!E840)</f>
        <v>653.96</v>
      </c>
      <c r="E4" s="50">
        <v>46108.0</v>
      </c>
    </row>
    <row r="5">
      <c r="A5" s="45" t="s">
        <v>288</v>
      </c>
      <c r="B5" s="48">
        <v>2431.47</v>
      </c>
      <c r="C5" s="37" t="s">
        <v>286</v>
      </c>
      <c r="D5" s="51">
        <f>SUM('Acompanhamento Compostagem Alvo'!E764+'Acompanhamento Compostagem Alvo'!E769+'Acompanhamento Compostagem Alvo'!E777+'Acompanhamento Compostagem Alvo'!E780+'Acompanhamento Compostagem Alvo'!E787+'Acompanhamento Compostagem Alvo'!E836+'Acompanhamento Compostagem Alvo'!E839)</f>
        <v>486.13</v>
      </c>
      <c r="E5" s="50">
        <v>46098.0</v>
      </c>
    </row>
    <row r="6">
      <c r="A6" s="45" t="s">
        <v>289</v>
      </c>
      <c r="B6" s="48">
        <v>2300.64</v>
      </c>
      <c r="C6" s="37" t="s">
        <v>286</v>
      </c>
      <c r="D6" s="51">
        <f>SUM('Acompanhamento Compostagem Alvo'!E708+'Acompanhamento Compostagem Alvo'!E709+'Acompanhamento Compostagem Alvo'!E710+'Acompanhamento Compostagem Alvo'!E735+'Acompanhamento Compostagem Alvo'!E737+'Acompanhamento Compostagem Alvo'!E750+'Acompanhamento Compostagem Alvo'!E786+'Acompanhamento Compostagem Alvo'!E793+'Acompanhamento Compostagem Alvo'!E798+'Acompanhamento Compostagem Alvo'!E845+'Acompanhamento Compostagem Alvo'!E860)</f>
        <v>692.72</v>
      </c>
      <c r="E6" s="50">
        <v>46105.0</v>
      </c>
    </row>
    <row r="7">
      <c r="A7" s="45" t="s">
        <v>296</v>
      </c>
      <c r="B7" s="48">
        <v>2226.74</v>
      </c>
      <c r="C7" s="37" t="s">
        <v>286</v>
      </c>
      <c r="D7" s="51">
        <f>'Acompanhamento Compostagem Alvo'!E729+'Acompanhamento Compostagem Alvo'!E730+'Acompanhamento Compostagem Alvo'!E736+'Acompanhamento Compostagem Alvo'!E738+'Acompanhamento Compostagem Alvo'!E745+'Acompanhamento Compostagem Alvo'!E812+'Acompanhamento Compostagem Alvo'!E816+'Acompanhamento Compostagem Alvo'!E829+'Acompanhamento Compostagem Alvo'!E837+'Acompanhamento Compostagem Alvo'!E847</f>
        <v>717.33</v>
      </c>
      <c r="E7" s="50">
        <v>46136.0</v>
      </c>
      <c r="F7" s="14" t="s">
        <v>303</v>
      </c>
    </row>
    <row r="8">
      <c r="A8" s="45" t="s">
        <v>304</v>
      </c>
      <c r="B8" s="48">
        <v>2066.93</v>
      </c>
      <c r="C8" s="37" t="s">
        <v>286</v>
      </c>
      <c r="D8" s="51">
        <f>'Acompanhamento Compostagem Alvo'!E846+'Acompanhamento Compostagem Alvo'!E848+'Acompanhamento Compostagem Alvo'!E852+'Acompanhamento Compostagem Alvo'!E859+'Acompanhamento Compostagem Alvo'!E865+'Acompanhamento Compostagem Alvo'!E868+'Acompanhamento Compostagem Alvo'!E870+'Acompanhamento Compostagem Alvo'!E886+'Acompanhamento Compostagem Alvo'!E887+'Acompanhamento Compostagem Alvo'!E895</f>
        <v>758.82</v>
      </c>
      <c r="E8" s="50">
        <v>46162.0</v>
      </c>
    </row>
    <row r="9">
      <c r="A9" s="45" t="s">
        <v>306</v>
      </c>
      <c r="B9" s="48">
        <v>1640.73</v>
      </c>
      <c r="C9" s="37" t="s">
        <v>286</v>
      </c>
      <c r="D9" s="51">
        <f>SUM('Acompanhamento Compostagem Alvo'!E849+'Acompanhamento Compostagem Alvo'!E869+'Acompanhamento Compostagem Alvo'!E871+'Acompanhamento Compostagem Alvo'!E892+'Acompanhamento Compostagem Alvo'!E906+'Acompanhamento Compostagem Alvo'!E913+'Acompanhamento Compostagem Alvo'!E909)</f>
        <v>605.91</v>
      </c>
      <c r="E9" s="50">
        <v>46230.0</v>
      </c>
    </row>
    <row r="10">
      <c r="A10" s="45" t="s">
        <v>312</v>
      </c>
      <c r="B10" s="48">
        <v>2213.53</v>
      </c>
      <c r="C10" s="37" t="s">
        <v>286</v>
      </c>
      <c r="D10" s="51">
        <f>'Acompanhamento Compostagem Alvo'!E815+'Acompanhamento Compostagem Alvo'!E824+'Acompanhamento Compostagem Alvo'!E830+'Acompanhamento Compostagem Alvo'!E832+'Acompanhamento Compostagem Alvo'!E838+'Acompanhamento Compostagem Alvo'!E853</f>
        <v>549.57</v>
      </c>
      <c r="E10" s="50">
        <v>46139.0</v>
      </c>
    </row>
    <row r="11">
      <c r="A11" s="45" t="s">
        <v>314</v>
      </c>
      <c r="B11" s="48">
        <v>1981.13</v>
      </c>
      <c r="C11" s="37" t="s">
        <v>286</v>
      </c>
      <c r="D11" s="51">
        <f>SUM('Acompanhamento Compostagem Alvo'!E844+'Acompanhamento Compostagem Alvo'!E863+'Acompanhamento Compostagem Alvo'!E876+'Acompanhamento Compostagem Alvo'!E891+'Acompanhamento Compostagem Alvo'!E898+'Acompanhamento Compostagem Alvo'!E902+'Acompanhamento Compostagem Alvo'!E914)</f>
        <v>731.97</v>
      </c>
      <c r="E11" s="50">
        <v>46171.0</v>
      </c>
    </row>
    <row r="12">
      <c r="A12" s="45" t="s">
        <v>317</v>
      </c>
      <c r="B12" s="48">
        <v>1594.26</v>
      </c>
      <c r="C12" s="37" t="s">
        <v>286</v>
      </c>
      <c r="D12" s="51">
        <f>SUM('Acompanhamento Compostagem Alvo'!E857+'Acompanhamento Compostagem Alvo'!E862+'Acompanhamento Compostagem Alvo'!E864+'Acompanhamento Compostagem Alvo'!E877+'Acompanhamento Compostagem Alvo'!E889+'Acompanhamento Compostagem Alvo'!E899+'Acompanhamento Compostagem Alvo'!E900+'Acompanhamento Compostagem Alvo'!E903+'Acompanhamento Compostagem Alvo'!E915)</f>
        <v>696.15</v>
      </c>
      <c r="E12" s="50">
        <v>46203.0</v>
      </c>
    </row>
    <row r="13">
      <c r="A13" s="45" t="s">
        <v>320</v>
      </c>
      <c r="B13" s="48">
        <v>2054.25</v>
      </c>
      <c r="C13" s="37" t="s">
        <v>286</v>
      </c>
      <c r="D13" s="51">
        <f>SUM('Acompanhamento Compostagem Alvo'!E695+'Acompanhamento Compostagem Alvo'!E704+'Acompanhamento Compostagem Alvo'!E705+'Acompanhamento Compostagem Alvo'!E706+'Acompanhamento Compostagem Alvo'!E707+'Acompanhamento Compostagem Alvo'!E740+'Acompanhamento Compostagem Alvo'!E741+'Acompanhamento Compostagem Alvo'!E748+'Acompanhamento Compostagem Alvo'!E755+'Acompanhamento Compostagem Alvo'!E756+'Acompanhamento Compostagem Alvo'!E772+'Acompanhamento Compostagem Alvo'!E789+'Acompanhamento Compostagem Alvo'!E794+'Acompanhamento Compostagem Alvo'!E799)</f>
        <v>743.99</v>
      </c>
      <c r="E13" s="50">
        <v>46171.0</v>
      </c>
    </row>
    <row r="14">
      <c r="A14" s="45" t="s">
        <v>328</v>
      </c>
      <c r="B14" s="48">
        <v>2384.89</v>
      </c>
      <c r="C14" s="37" t="s">
        <v>286</v>
      </c>
      <c r="D14" s="51">
        <f>SUM('Acompanhamento Compostagem Alvo'!E854+'Acompanhamento Compostagem Alvo'!E858+'Acompanhamento Compostagem Alvo'!E866+'Acompanhamento Compostagem Alvo'!E879+'Acompanhamento Compostagem Alvo'!E890+'Acompanhamento Compostagem Alvo'!E901+'Acompanhamento Compostagem Alvo'!E911)</f>
        <v>611.02</v>
      </c>
      <c r="E14" s="50">
        <v>46203.0</v>
      </c>
    </row>
    <row r="15">
      <c r="A15" s="45" t="s">
        <v>333</v>
      </c>
      <c r="B15" s="48">
        <v>2588.74</v>
      </c>
      <c r="C15" s="37" t="s">
        <v>286</v>
      </c>
      <c r="D15" s="51">
        <f>SUM('Acompanhamento Compostagem Alvo'!E850+'Acompanhamento Compostagem Alvo'!E867+'Acompanhamento Compostagem Alvo'!E894+'Acompanhamento Compostagem Alvo'!E897+'Acompanhamento Compostagem Alvo'!E912+'Acompanhamento Compostagem Alvo'!E907+'Acompanhamento Compostagem Alvo'!E908)</f>
        <v>669.23</v>
      </c>
      <c r="E15" s="50">
        <v>46203.0</v>
      </c>
    </row>
    <row r="16">
      <c r="A16" s="45" t="s">
        <v>336</v>
      </c>
      <c r="B16" s="48">
        <v>2245.89</v>
      </c>
      <c r="C16" s="37" t="s">
        <v>337</v>
      </c>
      <c r="D16" s="51">
        <f>'Acompanhamento Compostagem Alvo'!E753+'Acompanhamento Compostagem Alvo'!E762+'Acompanhamento Compostagem Alvo'!E776+'Acompanhamento Compostagem Alvo'!E783+'Acompanhamento Compostagem Alvo'!E790</f>
        <v>489.7</v>
      </c>
      <c r="E16" s="61">
        <v>46188.0</v>
      </c>
    </row>
    <row r="17">
      <c r="A17" s="45" t="s">
        <v>339</v>
      </c>
      <c r="B17" s="48">
        <v>2878.27</v>
      </c>
      <c r="C17" s="37" t="s">
        <v>286</v>
      </c>
      <c r="D17" s="51">
        <f>SUM('Acompanhamento Compostagem Alvo'!E796+'Acompanhamento Compostagem Alvo'!E808+'Acompanhamento Compostagem Alvo'!E817+'Acompanhamento Compostagem Alvo'!E822+'Acompanhamento Compostagem Alvo'!E823+'Acompanhamento Compostagem Alvo'!E841+'Acompanhamento Compostagem Alvo'!E851+'Acompanhamento Compostagem Alvo'!E855)</f>
        <v>771.23</v>
      </c>
      <c r="E17" s="61">
        <v>46140.0</v>
      </c>
    </row>
    <row r="18">
      <c r="A18" s="45" t="s">
        <v>343</v>
      </c>
      <c r="B18" s="48">
        <v>3117.95</v>
      </c>
      <c r="C18" s="37" t="s">
        <v>286</v>
      </c>
      <c r="D18" s="51">
        <f>SUM('Acompanhamento Compostagem Alvo'!E805+'Acompanhamento Compostagem Alvo'!E809+'Acompanhamento Compostagem Alvo'!E818+'Acompanhamento Compostagem Alvo'!E825+'Acompanhamento Compostagem Alvo'!E835+'Acompanhamento Compostagem Alvo'!E842+'Acompanhamento Compostagem Alvo'!E856)</f>
        <v>615.17</v>
      </c>
      <c r="E18" s="61">
        <v>46140.0</v>
      </c>
    </row>
    <row r="19">
      <c r="A19" s="45" t="s">
        <v>344</v>
      </c>
      <c r="B19" s="48">
        <v>1370.44</v>
      </c>
      <c r="C19" s="37" t="s">
        <v>286</v>
      </c>
      <c r="D19" s="51">
        <f>SUM('Acompanhamento Compostagem Alvo'!E758+'Acompanhamento Compostagem Alvo'!E810+'Acompanhamento Compostagem Alvo'!E819+'Acompanhamento Compostagem Alvo'!E826+'Acompanhamento Compostagem Alvo'!E831+'Acompanhamento Compostagem Alvo'!E843)</f>
        <v>553.44</v>
      </c>
      <c r="E19" s="61">
        <v>46134.0</v>
      </c>
    </row>
    <row r="20">
      <c r="A20" s="45" t="s">
        <v>345</v>
      </c>
      <c r="B20" s="48">
        <v>1948.49</v>
      </c>
      <c r="C20" s="37" t="s">
        <v>286</v>
      </c>
      <c r="D20" s="51">
        <f>SUM('Acompanhamento Compostagem Alvo'!E828+'Acompanhamento Compostagem Alvo'!E827+'Acompanhamento Compostagem Alvo'!E821+'Acompanhamento Compostagem Alvo'!E806+'Acompanhamento Compostagem Alvo'!E781+'Acompanhamento Compostagem Alvo'!E861)</f>
        <v>563.14</v>
      </c>
      <c r="E20" s="61">
        <v>46142.0</v>
      </c>
    </row>
    <row r="21">
      <c r="A21" s="45" t="s">
        <v>346</v>
      </c>
      <c r="B21" s="39"/>
      <c r="C21" s="37" t="s">
        <v>347</v>
      </c>
      <c r="D21" s="39"/>
      <c r="E21" s="39"/>
    </row>
    <row r="22">
      <c r="A22" s="45" t="s">
        <v>348</v>
      </c>
      <c r="B22" s="39"/>
      <c r="C22" s="37" t="s">
        <v>347</v>
      </c>
      <c r="D22" s="39"/>
      <c r="E22" s="39"/>
    </row>
    <row r="23">
      <c r="A23" s="45" t="s">
        <v>349</v>
      </c>
      <c r="B23" s="39"/>
      <c r="C23" s="37" t="s">
        <v>347</v>
      </c>
      <c r="D23" s="39"/>
      <c r="E23" s="39"/>
    </row>
    <row r="24">
      <c r="A24" s="45" t="s">
        <v>350</v>
      </c>
      <c r="B24" s="39"/>
      <c r="C24" s="37" t="s">
        <v>347</v>
      </c>
      <c r="D24" s="39"/>
      <c r="E24" s="39"/>
    </row>
    <row r="25">
      <c r="A25" s="45" t="s">
        <v>351</v>
      </c>
      <c r="B25" s="51">
        <f>'Acompanhamento Compostagem Alvo'!E1012+'Acompanhamento Compostagem Alvo'!E1018+'Acompanhamento Compostagem Alvo'!E1024+'Acompanhamento Compostagem Alvo'!E1025</f>
        <v>414</v>
      </c>
      <c r="C25" s="39"/>
      <c r="D25" s="39"/>
      <c r="E25" s="39"/>
    </row>
    <row r="26">
      <c r="A26" s="45" t="s">
        <v>352</v>
      </c>
      <c r="B26" s="51">
        <f>SUM('Acompanhamento Compostagem Alvo'!E1009+'Acompanhamento Compostagem Alvo'!E1013+'Acompanhamento Compostagem Alvo'!E1019+'Acompanhamento Compostagem Alvo'!E1022+'Acompanhamento Compostagem Alvo'!E1028)</f>
        <v>475</v>
      </c>
      <c r="C26" s="39"/>
      <c r="D26" s="39"/>
      <c r="E26" s="39"/>
    </row>
    <row r="27">
      <c r="A27" s="45" t="s">
        <v>353</v>
      </c>
      <c r="B27" s="51">
        <f>SUM('Acompanhamento Compostagem Alvo'!E970+'Acompanhamento Compostagem Alvo'!E977++'Acompanhamento Compostagem Alvo'!E984+'Acompanhamento Compostagem Alvo'!E990+'Acompanhamento Compostagem Alvo'!E993+'Acompanhamento Compostagem Alvo'!E997)</f>
        <v>704.4</v>
      </c>
      <c r="C27" s="37" t="s">
        <v>356</v>
      </c>
      <c r="D27" s="39"/>
      <c r="E27" s="61">
        <v>46227.0</v>
      </c>
    </row>
    <row r="28">
      <c r="A28" s="45" t="s">
        <v>357</v>
      </c>
      <c r="B28" s="51">
        <f>SUM('Acompanhamento Compostagem Alvo'!E975+'Acompanhamento Compostagem Alvo'!E978+'Acompanhamento Compostagem Alvo'!E982+'Acompanhamento Compostagem Alvo'!E989+'Acompanhamento Compostagem Alvo'!E996+'Acompanhamento Compostagem Alvo'!E1010)</f>
        <v>676.85</v>
      </c>
      <c r="C28" s="37" t="s">
        <v>356</v>
      </c>
      <c r="D28" s="39"/>
      <c r="E28" s="3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20.63"/>
    <col customWidth="1" min="3" max="3" width="11.75"/>
    <col customWidth="1" min="5" max="5" width="17.0"/>
  </cols>
  <sheetData>
    <row r="1">
      <c r="A1" s="74" t="s">
        <v>502</v>
      </c>
      <c r="B1" s="75" t="s">
        <v>503</v>
      </c>
      <c r="C1" s="14" t="s">
        <v>504</v>
      </c>
      <c r="D1" s="14" t="s">
        <v>505</v>
      </c>
      <c r="E1" s="14" t="s">
        <v>506</v>
      </c>
      <c r="F1" s="14" t="s">
        <v>507</v>
      </c>
      <c r="G1" s="14" t="s">
        <v>508</v>
      </c>
    </row>
    <row r="2">
      <c r="A2" s="76">
        <v>1.0</v>
      </c>
      <c r="B2" s="77">
        <f>SUM('Acompanhamento Compostagem Alvo'!E2+'Acompanhamento Compostagem Alvo'!E3+'Acompanhamento Compostagem Alvo'!E4+'Acompanhamento Compostagem Alvo'!E5+'Acompanhamento Compostagem Alvo'!E6+'Acompanhamento Compostagem Alvo'!E7+'Acompanhamento Compostagem Alvo'!E8+'Acompanhamento Compostagem Alvo'!E9+'Acompanhamento Compostagem Alvo'!E10+'Acompanhamento Compostagem Alvo'!E10+'Acompanhamento Compostagem Alvo'!E12+'Acompanhamento Compostagem Alvo'!E13+'Acompanhamento Compostagem Alvo'!E14+'Acompanhamento Compostagem Alvo'!E15+'Acompanhamento Compostagem Alvo'!E16+'Acompanhamento Compostagem Alvo'!E17+'Acompanhamento Compostagem Alvo'!E18+'Acompanhamento Compostagem Alvo'!E19+'Acompanhamento Compostagem Alvo'!E20+'Acompanhamento Compostagem Alvo'!E21+'Acompanhamento Compostagem Alvo'!E22+'Acompanhamento Compostagem Alvo'!E23+'Acompanhamento Compostagem Alvo'!E24 +B7)</f>
        <v>11119.795</v>
      </c>
      <c r="C2" s="78" t="s">
        <v>511</v>
      </c>
      <c r="D2" s="78" t="s">
        <v>512</v>
      </c>
      <c r="E2" s="78" t="s">
        <v>513</v>
      </c>
      <c r="F2" s="78" t="s">
        <v>515</v>
      </c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76">
        <v>2.0</v>
      </c>
      <c r="B3" s="80">
        <f>SUM('Acompanhamento Compostagem Alvo'!E25+'Acompanhamento Compostagem Alvo'!E26+'Acompanhamento Compostagem Alvo'!E27+'Acompanhamento Compostagem Alvo'!E28+'Acompanhamento Compostagem Alvo'!E29+'Acompanhamento Compostagem Alvo'!E30+'Acompanhamento Compostagem Alvo'!E31+'Acompanhamento Compostagem Alvo'!E32+'Acompanhamento Compostagem Alvo'!E33+'Acompanhamento Compostagem Alvo'!E34+'Acompanhamento Compostagem Alvo'!E35+'Acompanhamento Compostagem Alvo'!E36+'Acompanhamento Compostagem Alvo'!E37+'Acompanhamento Compostagem Alvo'!E38+'Acompanhamento Compostagem Alvo'!E39+'Acompanhamento Compostagem Alvo'!E40+'Acompanhamento Compostagem Alvo'!E41+'Acompanhamento Compostagem Alvo'!E42+'Acompanhamento Compostagem Alvo'!E43+'Acompanhamento Compostagem Alvo'!E44+'Acompanhamento Compostagem Alvo'!E50+'Acompanhamento Compostagem Alvo'!E51+'Acompanhamento Compostagem Alvo'!E52+'Acompanhamento Compostagem Alvo'!E53+'Acompanhamento Compostagem Alvo'!E54+'Acompanhamento Compostagem Alvo'!E55+'Acompanhamento Compostagem Alvo'!E64+'Acompanhamento Compostagem Alvo'!E65+'Acompanhamento Compostagem Alvo'!E66+'Acompanhamento Compostagem Alvo'!E67+'Acompanhamento Compostagem Alvo'!E68+'Acompanhamento Compostagem Alvo'!E75+'Acompanhamento Compostagem Alvo'!E76+'Acompanhamento Compostagem Alvo'!E77+'Acompanhamento Compostagem Alvo'!E78+'Acompanhamento Compostagem Alvo'!E79+'Acompanhamento Compostagem Alvo'!E83+'Acompanhamento Compostagem Alvo'!E84+'Acompanhamento Compostagem Alvo'!E85+'Acompanhamento Compostagem Alvo'!E86+'Acompanhamento Compostagem Alvo'!E87+'Acompanhamento Compostagem Alvo'!E88+'Acompanhamento Compostagem Alvo'!E89+'Acompanhamento Compostagem Alvo'!E90+B8)</f>
        <v>22411.115</v>
      </c>
      <c r="C3" s="78" t="s">
        <v>536</v>
      </c>
      <c r="D3" s="78" t="s">
        <v>537</v>
      </c>
      <c r="E3" s="81" t="s">
        <v>538</v>
      </c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76">
        <v>3.0</v>
      </c>
      <c r="B4" s="80">
        <f>SUM('Acompanhamento Compostagem Alvo'!E45+'Acompanhamento Compostagem Alvo'!E46+'Acompanhamento Compostagem Alvo'!E47+'Acompanhamento Compostagem Alvo'!E48+'Acompanhamento Compostagem Alvo'!E49+'Acompanhamento Compostagem Alvo'!E56+'Acompanhamento Compostagem Alvo'!E57+'Acompanhamento Compostagem Alvo'!E58+'Acompanhamento Compostagem Alvo'!E59+'Acompanhamento Compostagem Alvo'!E60+'Acompanhamento Compostagem Alvo'!E61+'Acompanhamento Compostagem Alvo'!E62+'Acompanhamento Compostagem Alvo'!E63+'Acompanhamento Compostagem Alvo'!E69+'Acompanhamento Compostagem Alvo'!E70+'Acompanhamento Compostagem Alvo'!E71+'Acompanhamento Compostagem Alvo'!E72+'Acompanhamento Compostagem Alvo'!E73+'Acompanhamento Compostagem Alvo'!E74+'Acompanhamento Compostagem Alvo'!E80+'Acompanhamento Compostagem Alvo'!E81+'Acompanhamento Compostagem Alvo'!E82+'Acompanhamento Compostagem Alvo'!E91+'Acompanhamento Compostagem Alvo'!E92+'Acompanhamento Compostagem Alvo'!E93+'Acompanhamento Compostagem Alvo'!E94+'Acompanhamento Compostagem Alvo'!E95+'Acompanhamento Compostagem Alvo'!E96+'Acompanhamento Compostagem Alvo'!E97+'Acompanhamento Compostagem Alvo'!E98+'Acompanhamento Compostagem Alvo'!E106+'Acompanhamento Compostagem Alvo'!E107+'Acompanhamento Compostagem Alvo'!E108+'Acompanhamento Compostagem Alvo'!E109+'Acompanhamento Compostagem Alvo'!E110++'Acompanhamento Compostagem Alvo'!E111+'Acompanhamento Compostagem Alvo'!E117+'Acompanhamento Compostagem Alvo'!E118+'Acompanhamento Compostagem Alvo'!E122+'Acompanhamento Compostagem Alvo'!E123+'Acompanhamento Compostagem Alvo'!E124)</f>
        <v>5057.21</v>
      </c>
      <c r="C4" s="78" t="s">
        <v>557</v>
      </c>
      <c r="D4" s="82" t="s">
        <v>558</v>
      </c>
      <c r="E4" s="82" t="s">
        <v>182</v>
      </c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76">
        <v>4.0</v>
      </c>
      <c r="B5" s="80">
        <f>'Acompanhamento Compostagem Alvo'!E99+'Acompanhamento Compostagem Alvo'!E100+'Acompanhamento Compostagem Alvo'!E101+'Acompanhamento Compostagem Alvo'!E102+'Acompanhamento Compostagem Alvo'!E103+'Acompanhamento Compostagem Alvo'!E104+'Acompanhamento Compostagem Alvo'!E105+'Acompanhamento Compostagem Alvo'!E112+'Acompanhamento Compostagem Alvo'!E113+'Acompanhamento Compostagem Alvo'!E114+'Acompanhamento Compostagem Alvo'!E115+'Acompanhamento Compostagem Alvo'!E116+'Acompanhamento Compostagem Alvo'!E119+'Acompanhamento Compostagem Alvo'!E120+'Acompanhamento Compostagem Alvo'!E121+'Acompanhamento Compostagem Alvo'!E125+'Acompanhamento Compostagem Alvo'!E126+'Acompanhamento Compostagem Alvo'!E127+'Acompanhamento Compostagem Alvo'!E128+'Acompanhamento Compostagem Alvo'!E129+'Acompanhamento Compostagem Alvo'!E135+'Acompanhamento Compostagem Alvo'!E136+'Acompanhamento Compostagem Alvo'!E137+'Acompanhamento Compostagem Alvo'!E143+'Acompanhamento Compostagem Alvo'!E144+'Acompanhamento Compostagem Alvo'!E145+'Acompanhamento Compostagem Alvo'!E146+'Acompanhamento Compostagem Alvo'!E147+'Acompanhamento Compostagem Alvo'!E148+'Acompanhamento Compostagem Alvo'!E155+'Acompanhamento Compostagem Alvo'!E156+'Acompanhamento Compostagem Alvo'!E157+'Acompanhamento Compostagem Alvo'!E158+'Acompanhamento Compostagem Alvo'!E159+'Acompanhamento Compostagem Alvo'!E160+'Acompanhamento Compostagem Alvo'!E167+'Acompanhamento Compostagem Alvo'!E168+'Acompanhamento Compostagem Alvo'!E169+'Acompanhamento Compostagem Alvo'!E170+'Acompanhamento Compostagem Alvo'!E171+'Acompanhamento Compostagem Alvo'!E172+'Acompanhamento Compostagem Alvo'!E173+'Acompanhamento Compostagem Alvo'!E183+'Acompanhamento Compostagem Alvo'!E184+'Acompanhamento Compostagem Alvo'!E185+'Acompanhamento Compostagem Alvo'!E186+'Acompanhamento Compostagem Alvo'!E187+'Acompanhamento Compostagem Alvo'!E188+'Acompanhamento Compostagem Alvo'!E189+'Acompanhamento Compostagem Alvo'!E190+'Acompanhamento Compostagem Alvo'!E196+'Acompanhamento Compostagem Alvo'!E197+'Acompanhamento Compostagem Alvo'!E198+'Acompanhamento Compostagem Alvo'!E199+'Acompanhamento Compostagem Alvo'!E200+'Acompanhamento Compostagem Alvo'!E201+'Acompanhamento Compostagem Alvo'!E202+'Acompanhamento Compostagem Alvo'!E203+'Acompanhamento Compostagem Alvo'!E204+'Acompanhamento Compostagem Alvo'!E205+'Acompanhamento Compostagem Alvo'!E211+'Acompanhamento Compostagem Alvo'!E212+'Acompanhamento Compostagem Alvo'!E213+'Acompanhamento Compostagem Alvo'!E214+'Acompanhamento Compostagem Alvo'!E215+'Acompanhamento Compostagem Alvo'!E216+'Acompanhamento Compostagem Alvo'!E226+'Acompanhamento Compostagem Alvo'!E227+'Acompanhamento Compostagem Alvo'!E228+'Acompanhamento Compostagem Alvo'!E229+'Acompanhamento Compostagem Alvo'!E230+'Acompanhamento Compostagem Alvo'!E231+'Acompanhamento Compostagem Alvo'!E232+'Acompanhamento Compostagem Alvo'!E233+'Acompanhamento Compostagem Alvo'!E243+'Acompanhamento Compostagem Alvo'!E244+'Acompanhamento Compostagem Alvo'!E245+'Acompanhamento Compostagem Alvo'!E246+'Acompanhamento Compostagem Alvo'!E247+'Acompanhamento Compostagem Alvo'!E248+'Acompanhamento Compostagem Alvo'!E249+'Acompanhamento Compostagem Alvo'!E250+'Acompanhamento Compostagem Alvo'!E251+'Acompanhamento Compostagem Alvo'!E252+'Acompanhamento Compostagem Alvo'!E253+'Acompanhamento Compostagem Alvo'!E262+'Acompanhamento Compostagem Alvo'!E263+'Acompanhamento Compostagem Alvo'!E264+'Acompanhamento Compostagem Alvo'!E265+'Acompanhamento Compostagem Alvo'!E266+'Acompanhamento Compostagem Alvo'!E267+'Acompanhamento Compostagem Alvo'!E268+'Acompanhamento Compostagem Alvo'!E269+'Acompanhamento Compostagem Alvo'!E270+'Acompanhamento Compostagem Alvo'!E271+'Acompanhamento Compostagem Alvo'!E272+'Acompanhamento Compostagem Alvo'!E273+'Acompanhamento Compostagem Alvo'!E274+'Acompanhamento Compostagem Alvo'!E275+'Acompanhamento Compostagem Alvo'!E276+'Acompanhamento Compostagem Alvo'!E277+'Acompanhamento Compostagem Alvo'!E278+'Acompanhamento Compostagem Alvo'!E279+'Acompanhamento Compostagem Alvo'!E280+'Acompanhamento Compostagem Alvo'!E281+'Acompanhamento Compostagem Alvo'!E282+'Acompanhamento Compostagem Alvo'!E283+'Acompanhamento Compostagem Alvo'!E284</f>
        <v>11300.59</v>
      </c>
      <c r="C5" s="78" t="s">
        <v>571</v>
      </c>
      <c r="D5" s="82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83"/>
      <c r="B6" s="83"/>
    </row>
    <row r="7">
      <c r="A7" s="14">
        <v>1.0</v>
      </c>
      <c r="B7" s="84">
        <f>SUM('Acompanhamento Compostagem Alvo'!E130+'Acompanhamento Compostagem Alvo'!E131+'Acompanhamento Compostagem Alvo'!E132+'Acompanhamento Compostagem Alvo'!E133+'Acompanhamento Compostagem Alvo'!E134+'Acompanhamento Compostagem Alvo'!E138+'Acompanhamento Compostagem Alvo'!E139+'Acompanhamento Compostagem Alvo'!E140+'Acompanhamento Compostagem Alvo'!E141+'Acompanhamento Compostagem Alvo'!E142+'Acompanhamento Compostagem Alvo'!E149+'Acompanhamento Compostagem Alvo'!E150+'Acompanhamento Compostagem Alvo'!E151+'Acompanhamento Compostagem Alvo'!E152+'Acompanhamento Compostagem Alvo'!E153+'Acompanhamento Compostagem Alvo'!E154+'Acompanhamento Compostagem Alvo'!E161+'Acompanhamento Compostagem Alvo'!E162+'Acompanhamento Compostagem Alvo'!E163+'Acompanhamento Compostagem Alvo'!E164+'Acompanhamento Compostagem Alvo'!E165+'Acompanhamento Compostagem Alvo'!E166+'Acompanhamento Compostagem Alvo'!E174+'Acompanhamento Compostagem Alvo'!E175+'Acompanhamento Compostagem Alvo'!E176+'Acompanhamento Compostagem Alvo'!E177+'Acompanhamento Compostagem Alvo'!E178+'Acompanhamento Compostagem Alvo'!E179+'Acompanhamento Compostagem Alvo'!E180+'Acompanhamento Compostagem Alvo'!E181+'Acompanhamento Compostagem Alvo'!E182+'Acompanhamento Compostagem Alvo'!E206+'Acompanhamento Compostagem Alvo'!E207+'Acompanhamento Compostagem Alvo'!E208+'Acompanhamento Compostagem Alvo'!E209+'Acompanhamento Compostagem Alvo'!E210+'Acompanhamento Compostagem Alvo'!E217+'Acompanhamento Compostagem Alvo'!E218+'Acompanhamento Compostagem Alvo'!E219+'Acompanhamento Compostagem Alvo'!E220+'Acompanhamento Compostagem Alvo'!E221+'Acompanhamento Compostagem Alvo'!E222+'Acompanhamento Compostagem Alvo'!E223+'Acompanhamento Compostagem Alvo'!E224+'Acompanhamento Compostagem Alvo'!E225+'Acompanhamento Compostagem Alvo'!E234+'Acompanhamento Compostagem Alvo'!E235+'Acompanhamento Compostagem Alvo'!E236+'Acompanhamento Compostagem Alvo'!E237+'Acompanhamento Compostagem Alvo'!E238+'Acompanhamento Compostagem Alvo'!E239+'Acompanhamento Compostagem Alvo'!E240+'Acompanhamento Compostagem Alvo'!E241+'Acompanhamento Compostagem Alvo'!E242+'Acompanhamento Compostagem Alvo'!E254+'Acompanhamento Compostagem Alvo'!E255+'Acompanhamento Compostagem Alvo'!E256+'Acompanhamento Compostagem Alvo'!E257+'Acompanhamento Compostagem Alvo'!E258+'Acompanhamento Compostagem Alvo'!E259+'Acompanhamento Compostagem Alvo'!E260+'Acompanhamento Compostagem Alvo'!E261+'Acompanhamento Compostagem Alvo'!E191+'Acompanhamento Compostagem Alvo'!E192+'Acompanhamento Compostagem Alvo'!E193+'Acompanhamento Compostagem Alvo'!E194+'Acompanhamento Compostagem Alvo'!E195)</f>
        <v>8143.42</v>
      </c>
    </row>
    <row r="8">
      <c r="A8" s="14">
        <v>2.0</v>
      </c>
      <c r="B8" s="84">
        <f>SUM('Acompanhamento Compostagem Alvo'!E285+'Acompanhamento Compostagem Alvo'!E286+'Acompanhamento Compostagem Alvo'!E287+'Acompanhamento Compostagem Alvo'!E288+'Acompanhamento Compostagem Alvo'!E289+'Acompanhamento Compostagem Alvo'!E290+'Acompanhamento Compostagem Alvo'!E291+'Acompanhamento Compostagem Alvo'!E292+'Acompanhamento Compostagem Alvo'!E293+'Acompanhamento Compostagem Alvo'!E294+'Acompanhamento Compostagem Alvo'!E295+'Acompanhamento Compostagem Alvo'!E296+'Acompanhamento Compostagem Alvo'!E297+'Acompanhamento Compostagem Alvo'!E298+'Acompanhamento Compostagem Alvo'!E299+'Acompanhamento Compostagem Alvo'!E300+'Acompanhamento Compostagem Alvo'!E301+'Acompanhamento Compostagem Alvo'!E302+'Acompanhamento Compostagem Alvo'!E303+'Acompanhamento Compostagem Alvo'!E304+'Acompanhamento Compostagem Alvo'!E305+'Acompanhamento Compostagem Alvo'!E306+'Acompanhamento Compostagem Alvo'!E307+'Acompanhamento Compostagem Alvo'!E308+'Acompanhamento Compostagem Alvo'!E309+'Acompanhamento Compostagem Alvo'!E310+'Acompanhamento Compostagem Alvo'!E311+'Acompanhamento Compostagem Alvo'!E312+'Acompanhamento Compostagem Alvo'!E313+'Acompanhamento Compostagem Alvo'!E314+'Acompanhamento Compostagem Alvo'!E315+'Acompanhamento Compostagem Alvo'!E316+'Acompanhamento Compostagem Alvo'!E317+'Acompanhamento Compostagem Alvo'!E318+'Acompanhamento Compostagem Alvo'!E319+'Acompanhamento Compostagem Alvo'!E320+'Acompanhamento Compostagem Alvo'!E321+'Acompanhamento Compostagem Alvo'!E322+'Acompanhamento Compostagem Alvo'!E323+'Acompanhamento Compostagem Alvo'!E324+'Acompanhamento Compostagem Alvo'!E325+'Acompanhamento Compostagem Alvo'!E326+'Acompanhamento Compostagem Alvo'!E327+'Acompanhamento Compostagem Alvo'!E328+'Acompanhamento Compostagem Alvo'!E329+'Acompanhamento Compostagem Alvo'!E330+'Acompanhamento Compostagem Alvo'!E331+'Acompanhamento Compostagem Alvo'!E332+'Acompanhamento Compostagem Alvo'!E333+'Acompanhamento Compostagem Alvo'!E334+'Acompanhamento Compostagem Alvo'!E335+'Acompanhamento Compostagem Alvo'!E336+'Acompanhamento Compostagem Alvo'!E337+'Acompanhamento Compostagem Alvo'!E338+'Acompanhamento Compostagem Alvo'!E339+'Acompanhamento Compostagem Alvo'!E340+'Acompanhamento Compostagem Alvo'!E341+'Acompanhamento Compostagem Alvo'!E342+'Acompanhamento Compostagem Alvo'!E343+'Acompanhamento Compostagem Alvo'!E344+'Acompanhamento Compostagem Alvo'!E345+'Acompanhamento Compostagem Alvo'!E346+'Acompanhamento Compostagem Alvo'!E347+'Acompanhamento Compostagem Alvo'!E348+'Acompanhamento Compostagem Alvo'!E349+'Acompanhamento Compostagem Alvo'!E350+'Acompanhamento Compostagem Alvo'!E351+'Acompanhamento Compostagem Alvo'!E352+'Acompanhamento Compostagem Alvo'!E353+'Acompanhamento Compostagem Alvo'!E354+'Acompanhamento Compostagem Alvo'!E355+'Acompanhamento Compostagem Alvo'!E356+'Acompanhamento Compostagem Alvo'!E357+'Acompanhamento Compostagem Alvo'!E358+'Acompanhamento Compostagem Alvo'!E359+'Acompanhamento Compostagem Alvo'!E360+'Acompanhamento Compostagem Alvo'!E361+'Acompanhamento Compostagem Alvo'!E362+'Acompanhamento Compostagem Alvo'!E363+'Acompanhamento Compostagem Alvo'!E364+'Acompanhamento Compostagem Alvo'!E365+'Acompanhamento Compostagem Alvo'!E366+'Acompanhamento Compostagem Alvo'!E367+'Acompanhamento Compostagem Alvo'!E368+'Acompanhamento Compostagem Alvo'!E377+'Acompanhamento Compostagem Alvo'!E378+'Acompanhamento Compostagem Alvo'!E379+'Acompanhamento Compostagem Alvo'!E386+'Acompanhamento Compostagem Alvo'!E387+'Acompanhamento Compostagem Alvo'!E388+'Acompanhamento Compostagem Alvo'!E392+'Acompanhamento Compostagem Alvo'!E393+'Acompanhamento Compostagem Alvo'!E394+'Acompanhamento Compostagem Alvo'!E404+'Acompanhamento Compostagem Alvo'!E405+'Acompanhamento Compostagem Alvo'!E409+'Acompanhamento Compostagem Alvo'!E410+'Acompanhamento Compostagem Alvo'!E412+'Acompanhamento Compostagem Alvo'!E416+'Acompanhamento Compostagem Alvo'!E417+'Acompanhamento Compostagem Alvo'!E421+'Acompanhamento Compostagem Alvo'!E422+'Acompanhamento Compostagem Alvo'!E423+'Acompanhamento Compostagem Alvo'!E424+'Acompanhamento Compostagem Alvo'!E429+'Acompanhamento Compostagem Alvo'!E430+'Acompanhamento Compostagem Alvo'!E431+'Acompanhamento Compostagem Alvo'!E438+'Acompanhamento Compostagem Alvo'!E439+'Acompanhamento Compostagem Alvo'!E440+'Acompanhamento Compostagem Alvo'!E445+'Acompanhamento Compostagem Alvo'!E446+'Acompanhamento Compostagem Alvo'!E451+'Acompanhamento Compostagem Alvo'!E452+'Acompanhamento Compostagem Alvo'!E457+'Acompanhamento Compostagem Alvo'!E458+'Acompanhamento Compostagem Alvo'!E466)</f>
        <v>16806.095</v>
      </c>
    </row>
    <row r="12">
      <c r="A12" s="83"/>
      <c r="B12" s="83"/>
    </row>
    <row r="13">
      <c r="A13" s="85"/>
      <c r="B13" s="85"/>
      <c r="C13" s="14"/>
      <c r="D13" s="14"/>
    </row>
    <row r="14">
      <c r="A14" s="85"/>
      <c r="B14" s="86"/>
      <c r="C14" s="14"/>
      <c r="D14" s="14"/>
    </row>
    <row r="15">
      <c r="A15" s="85"/>
      <c r="B15" s="86"/>
      <c r="C15" s="14"/>
    </row>
    <row r="16">
      <c r="A16" s="85"/>
      <c r="B16" s="86"/>
      <c r="C16" s="14"/>
    </row>
    <row r="17">
      <c r="A17" s="85"/>
      <c r="B17" s="86"/>
      <c r="C17" s="14"/>
    </row>
    <row r="18">
      <c r="A18" s="85"/>
      <c r="B18" s="86"/>
      <c r="C18" s="14"/>
    </row>
    <row r="19">
      <c r="A19" s="85"/>
      <c r="B19" s="86"/>
      <c r="C19" s="14"/>
    </row>
    <row r="20">
      <c r="A20" s="85"/>
      <c r="B20" s="86"/>
      <c r="C20" s="14"/>
    </row>
    <row r="21">
      <c r="A21" s="85"/>
      <c r="B21" s="86"/>
      <c r="C21" s="14"/>
    </row>
    <row r="22">
      <c r="A22" s="85"/>
      <c r="B22" s="86"/>
      <c r="C22" s="14"/>
    </row>
    <row r="23">
      <c r="A23" s="85"/>
      <c r="B23" s="86"/>
    </row>
    <row r="24">
      <c r="A24" s="85"/>
      <c r="B24" s="86"/>
    </row>
    <row r="25">
      <c r="A25" s="85"/>
      <c r="B25" s="83"/>
    </row>
    <row r="26">
      <c r="A26" s="85"/>
      <c r="B26" s="83"/>
      <c r="C26" s="14"/>
    </row>
    <row r="27">
      <c r="A27" s="85"/>
      <c r="B27" s="83"/>
    </row>
    <row r="28">
      <c r="A28" s="85"/>
      <c r="B28" s="83"/>
    </row>
    <row r="29">
      <c r="A29" s="85"/>
      <c r="B29" s="83"/>
    </row>
    <row r="30">
      <c r="A30" s="85"/>
      <c r="B30" s="83"/>
    </row>
    <row r="31">
      <c r="A31" s="85"/>
      <c r="B31" s="83"/>
    </row>
    <row r="32">
      <c r="A32" s="83"/>
      <c r="B32" s="83"/>
    </row>
    <row r="33">
      <c r="A33" s="83"/>
      <c r="B33" s="83"/>
    </row>
    <row r="34">
      <c r="A34" s="83"/>
      <c r="B34" s="83"/>
    </row>
    <row r="35">
      <c r="A35" s="83"/>
      <c r="B35" s="83"/>
    </row>
    <row r="36">
      <c r="A36" s="83"/>
      <c r="B36" s="83"/>
    </row>
    <row r="37">
      <c r="A37" s="83"/>
      <c r="B37" s="83"/>
    </row>
    <row r="38">
      <c r="A38" s="83"/>
      <c r="B38" s="83"/>
    </row>
    <row r="39">
      <c r="A39" s="83"/>
      <c r="B39" s="83"/>
    </row>
    <row r="40">
      <c r="A40" s="83"/>
      <c r="B40" s="83"/>
    </row>
    <row r="41">
      <c r="A41" s="83"/>
      <c r="B41" s="83"/>
    </row>
    <row r="42">
      <c r="A42" s="83"/>
      <c r="B42" s="83"/>
    </row>
    <row r="43">
      <c r="A43" s="83"/>
      <c r="B43" s="83"/>
    </row>
    <row r="44">
      <c r="A44" s="83"/>
      <c r="B44" s="83"/>
    </row>
    <row r="45">
      <c r="A45" s="83"/>
      <c r="B45" s="83"/>
    </row>
    <row r="46">
      <c r="A46" s="83"/>
      <c r="B46" s="83"/>
    </row>
    <row r="47">
      <c r="A47" s="83"/>
      <c r="B47" s="83"/>
    </row>
    <row r="48">
      <c r="A48" s="83"/>
      <c r="B48" s="83"/>
    </row>
    <row r="49">
      <c r="A49" s="83"/>
      <c r="B49" s="83"/>
    </row>
    <row r="50">
      <c r="A50" s="83"/>
      <c r="B50" s="83"/>
    </row>
    <row r="51">
      <c r="A51" s="83"/>
      <c r="B51" s="83"/>
    </row>
    <row r="52">
      <c r="A52" s="83"/>
      <c r="B52" s="83"/>
    </row>
    <row r="53">
      <c r="A53" s="83"/>
      <c r="B53" s="83"/>
    </row>
    <row r="54">
      <c r="A54" s="83"/>
      <c r="B54" s="83"/>
    </row>
    <row r="55">
      <c r="A55" s="83"/>
      <c r="B55" s="83"/>
    </row>
    <row r="56">
      <c r="A56" s="83"/>
      <c r="B56" s="83"/>
    </row>
    <row r="57">
      <c r="A57" s="83"/>
      <c r="B57" s="83"/>
    </row>
    <row r="58">
      <c r="A58" s="83"/>
      <c r="B58" s="83"/>
    </row>
    <row r="59">
      <c r="A59" s="83"/>
      <c r="B59" s="83"/>
    </row>
    <row r="60">
      <c r="A60" s="83"/>
      <c r="B60" s="83"/>
    </row>
    <row r="61">
      <c r="A61" s="83"/>
      <c r="B61" s="83"/>
    </row>
    <row r="62">
      <c r="A62" s="83"/>
      <c r="B62" s="83"/>
    </row>
    <row r="63">
      <c r="A63" s="83"/>
      <c r="B63" s="83"/>
    </row>
    <row r="64">
      <c r="A64" s="83"/>
      <c r="B64" s="83"/>
    </row>
    <row r="65">
      <c r="A65" s="83"/>
      <c r="B65" s="83"/>
    </row>
    <row r="66">
      <c r="A66" s="83"/>
      <c r="B66" s="83"/>
    </row>
    <row r="67">
      <c r="A67" s="83"/>
      <c r="B67" s="83"/>
    </row>
    <row r="68">
      <c r="A68" s="83"/>
      <c r="B68" s="83"/>
    </row>
    <row r="69">
      <c r="A69" s="83"/>
      <c r="B69" s="83"/>
    </row>
    <row r="70">
      <c r="A70" s="83"/>
      <c r="B70" s="83"/>
    </row>
    <row r="71">
      <c r="A71" s="83"/>
      <c r="B71" s="83"/>
    </row>
    <row r="72">
      <c r="A72" s="83"/>
      <c r="B72" s="83"/>
    </row>
    <row r="73">
      <c r="A73" s="83"/>
      <c r="B73" s="83"/>
    </row>
    <row r="74">
      <c r="A74" s="83"/>
      <c r="B74" s="83"/>
    </row>
    <row r="75">
      <c r="A75" s="83"/>
      <c r="B75" s="83"/>
    </row>
    <row r="76">
      <c r="A76" s="83"/>
      <c r="B76" s="83"/>
    </row>
    <row r="77">
      <c r="A77" s="83"/>
      <c r="B77" s="83"/>
    </row>
    <row r="78">
      <c r="A78" s="83"/>
      <c r="B78" s="83"/>
    </row>
    <row r="79">
      <c r="A79" s="83"/>
      <c r="B79" s="83"/>
    </row>
    <row r="80">
      <c r="A80" s="83"/>
      <c r="B80" s="83"/>
    </row>
    <row r="81">
      <c r="A81" s="83"/>
      <c r="B81" s="83"/>
    </row>
    <row r="82">
      <c r="A82" s="83"/>
      <c r="B82" s="83"/>
    </row>
    <row r="83">
      <c r="A83" s="83"/>
      <c r="B83" s="83"/>
    </row>
    <row r="84">
      <c r="A84" s="83"/>
      <c r="B84" s="83"/>
    </row>
    <row r="85">
      <c r="A85" s="83"/>
      <c r="B85" s="83"/>
    </row>
    <row r="86">
      <c r="A86" s="83"/>
      <c r="B86" s="83"/>
    </row>
    <row r="87">
      <c r="A87" s="83"/>
      <c r="B87" s="83"/>
    </row>
    <row r="88">
      <c r="A88" s="83"/>
      <c r="B88" s="83"/>
    </row>
    <row r="89">
      <c r="A89" s="83"/>
      <c r="B89" s="83"/>
    </row>
    <row r="90">
      <c r="A90" s="83"/>
      <c r="B90" s="83"/>
    </row>
    <row r="91">
      <c r="A91" s="83"/>
      <c r="B91" s="83"/>
    </row>
    <row r="92">
      <c r="A92" s="83"/>
      <c r="B92" s="83"/>
    </row>
    <row r="93">
      <c r="A93" s="83"/>
      <c r="B93" s="83"/>
    </row>
    <row r="94">
      <c r="A94" s="83"/>
      <c r="B94" s="83"/>
    </row>
    <row r="95">
      <c r="A95" s="83"/>
      <c r="B95" s="83"/>
    </row>
    <row r="96">
      <c r="A96" s="83"/>
      <c r="B96" s="83"/>
    </row>
    <row r="97">
      <c r="A97" s="83"/>
      <c r="B97" s="83"/>
    </row>
    <row r="98">
      <c r="A98" s="83"/>
      <c r="B98" s="83"/>
    </row>
    <row r="99">
      <c r="A99" s="83"/>
      <c r="B99" s="83"/>
    </row>
    <row r="100">
      <c r="A100" s="83"/>
      <c r="B100" s="83"/>
    </row>
    <row r="101">
      <c r="A101" s="83"/>
      <c r="B101" s="83"/>
    </row>
    <row r="102">
      <c r="A102" s="83"/>
      <c r="B102" s="83"/>
    </row>
    <row r="103">
      <c r="A103" s="83"/>
      <c r="B103" s="83"/>
    </row>
    <row r="104">
      <c r="A104" s="83"/>
      <c r="B104" s="83"/>
    </row>
    <row r="105">
      <c r="A105" s="83"/>
      <c r="B105" s="83"/>
    </row>
    <row r="106">
      <c r="A106" s="83"/>
      <c r="B106" s="83"/>
    </row>
    <row r="107">
      <c r="A107" s="83"/>
      <c r="B107" s="83"/>
    </row>
    <row r="108">
      <c r="A108" s="83"/>
      <c r="B108" s="83"/>
    </row>
    <row r="109">
      <c r="A109" s="83"/>
      <c r="B109" s="83"/>
    </row>
    <row r="110">
      <c r="A110" s="83"/>
      <c r="B110" s="83"/>
    </row>
    <row r="111">
      <c r="A111" s="83"/>
      <c r="B111" s="83"/>
    </row>
    <row r="112">
      <c r="A112" s="83"/>
      <c r="B112" s="83"/>
    </row>
    <row r="113">
      <c r="A113" s="83"/>
      <c r="B113" s="83"/>
    </row>
    <row r="114">
      <c r="A114" s="83"/>
      <c r="B114" s="83"/>
    </row>
    <row r="115">
      <c r="A115" s="83"/>
      <c r="B115" s="83"/>
    </row>
    <row r="116">
      <c r="A116" s="83"/>
      <c r="B116" s="83"/>
    </row>
    <row r="117">
      <c r="A117" s="83"/>
      <c r="B117" s="83"/>
    </row>
    <row r="118">
      <c r="A118" s="83"/>
      <c r="B118" s="83"/>
    </row>
    <row r="119">
      <c r="A119" s="83"/>
      <c r="B119" s="83"/>
    </row>
    <row r="120">
      <c r="A120" s="83"/>
      <c r="B120" s="83"/>
    </row>
    <row r="121">
      <c r="A121" s="83"/>
      <c r="B121" s="83"/>
    </row>
    <row r="122">
      <c r="A122" s="83"/>
      <c r="B122" s="83"/>
    </row>
    <row r="123">
      <c r="A123" s="83"/>
      <c r="B123" s="83"/>
    </row>
    <row r="124">
      <c r="A124" s="83"/>
      <c r="B124" s="83"/>
    </row>
    <row r="125">
      <c r="A125" s="83"/>
      <c r="B125" s="83"/>
    </row>
    <row r="126">
      <c r="A126" s="83"/>
      <c r="B126" s="83"/>
    </row>
    <row r="127">
      <c r="A127" s="83"/>
      <c r="B127" s="83"/>
    </row>
    <row r="128">
      <c r="A128" s="83"/>
      <c r="B128" s="83"/>
    </row>
    <row r="129">
      <c r="A129" s="83"/>
      <c r="B129" s="83"/>
    </row>
    <row r="130">
      <c r="A130" s="83"/>
      <c r="B130" s="83"/>
    </row>
    <row r="131">
      <c r="A131" s="83"/>
      <c r="B131" s="83"/>
    </row>
    <row r="132">
      <c r="A132" s="83"/>
      <c r="B132" s="83"/>
    </row>
    <row r="133">
      <c r="A133" s="83"/>
      <c r="B133" s="83"/>
    </row>
    <row r="134">
      <c r="A134" s="83"/>
      <c r="B134" s="83"/>
    </row>
    <row r="135">
      <c r="A135" s="83"/>
      <c r="B135" s="83"/>
    </row>
    <row r="136">
      <c r="A136" s="83"/>
      <c r="B136" s="83"/>
    </row>
    <row r="137">
      <c r="A137" s="83"/>
      <c r="B137" s="83"/>
    </row>
    <row r="138">
      <c r="A138" s="83"/>
      <c r="B138" s="83"/>
    </row>
    <row r="139">
      <c r="A139" s="83"/>
      <c r="B139" s="83"/>
    </row>
    <row r="140">
      <c r="A140" s="83"/>
      <c r="B140" s="83"/>
    </row>
    <row r="141">
      <c r="A141" s="83"/>
      <c r="B141" s="83"/>
    </row>
    <row r="142">
      <c r="A142" s="83"/>
      <c r="B142" s="83"/>
    </row>
    <row r="143">
      <c r="A143" s="83"/>
      <c r="B143" s="83"/>
    </row>
    <row r="144">
      <c r="A144" s="83"/>
      <c r="B144" s="83"/>
    </row>
    <row r="145">
      <c r="A145" s="83"/>
      <c r="B145" s="83"/>
    </row>
    <row r="146">
      <c r="A146" s="83"/>
      <c r="B146" s="83"/>
    </row>
    <row r="147">
      <c r="A147" s="83"/>
      <c r="B147" s="83"/>
    </row>
    <row r="148">
      <c r="A148" s="83"/>
      <c r="B148" s="83"/>
    </row>
    <row r="149">
      <c r="A149" s="83"/>
      <c r="B149" s="83"/>
    </row>
    <row r="150">
      <c r="A150" s="83"/>
      <c r="B150" s="83"/>
    </row>
    <row r="151">
      <c r="A151" s="83"/>
      <c r="B151" s="83"/>
    </row>
    <row r="152">
      <c r="A152" s="83"/>
      <c r="B152" s="83"/>
    </row>
    <row r="153">
      <c r="A153" s="83"/>
      <c r="B153" s="83"/>
    </row>
    <row r="154">
      <c r="A154" s="83"/>
      <c r="B154" s="83"/>
    </row>
    <row r="155">
      <c r="A155" s="83"/>
      <c r="B155" s="83"/>
    </row>
    <row r="156">
      <c r="A156" s="83"/>
      <c r="B156" s="83"/>
    </row>
    <row r="157">
      <c r="A157" s="83"/>
      <c r="B157" s="83"/>
    </row>
    <row r="158">
      <c r="A158" s="83"/>
      <c r="B158" s="83"/>
    </row>
    <row r="159">
      <c r="A159" s="83"/>
      <c r="B159" s="83"/>
    </row>
    <row r="160">
      <c r="A160" s="83"/>
      <c r="B160" s="83"/>
    </row>
    <row r="161">
      <c r="A161" s="83"/>
      <c r="B161" s="83"/>
    </row>
    <row r="162">
      <c r="A162" s="83"/>
      <c r="B162" s="83"/>
    </row>
    <row r="163">
      <c r="A163" s="83"/>
      <c r="B163" s="83"/>
    </row>
    <row r="164">
      <c r="A164" s="83"/>
      <c r="B164" s="83"/>
    </row>
    <row r="165">
      <c r="A165" s="83"/>
      <c r="B165" s="83"/>
    </row>
    <row r="166">
      <c r="A166" s="83"/>
      <c r="B166" s="83"/>
    </row>
    <row r="167">
      <c r="A167" s="83"/>
      <c r="B167" s="83"/>
    </row>
    <row r="168">
      <c r="A168" s="83"/>
      <c r="B168" s="83"/>
    </row>
    <row r="169">
      <c r="A169" s="83"/>
      <c r="B169" s="83"/>
    </row>
    <row r="170">
      <c r="A170" s="83"/>
      <c r="B170" s="83"/>
    </row>
    <row r="171">
      <c r="A171" s="83"/>
      <c r="B171" s="83"/>
    </row>
    <row r="172">
      <c r="A172" s="83"/>
      <c r="B172" s="83"/>
    </row>
    <row r="173">
      <c r="A173" s="83"/>
      <c r="B173" s="83"/>
    </row>
    <row r="174">
      <c r="A174" s="83"/>
      <c r="B174" s="83"/>
    </row>
    <row r="175">
      <c r="A175" s="83"/>
      <c r="B175" s="83"/>
    </row>
    <row r="176">
      <c r="A176" s="83"/>
      <c r="B176" s="83"/>
    </row>
    <row r="177">
      <c r="A177" s="83"/>
      <c r="B177" s="83"/>
    </row>
    <row r="178">
      <c r="A178" s="83"/>
      <c r="B178" s="83"/>
    </row>
    <row r="179">
      <c r="A179" s="83"/>
      <c r="B179" s="83"/>
    </row>
    <row r="180">
      <c r="A180" s="83"/>
      <c r="B180" s="83"/>
    </row>
    <row r="181">
      <c r="A181" s="83"/>
      <c r="B181" s="83"/>
    </row>
    <row r="182">
      <c r="A182" s="83"/>
      <c r="B182" s="83"/>
    </row>
    <row r="183">
      <c r="A183" s="83"/>
      <c r="B183" s="83"/>
    </row>
    <row r="184">
      <c r="A184" s="83"/>
      <c r="B184" s="83"/>
    </row>
    <row r="185">
      <c r="A185" s="83"/>
      <c r="B185" s="83"/>
    </row>
    <row r="186">
      <c r="A186" s="83"/>
      <c r="B186" s="83"/>
    </row>
    <row r="187">
      <c r="A187" s="83"/>
      <c r="B187" s="83"/>
    </row>
    <row r="188">
      <c r="A188" s="83"/>
      <c r="B188" s="83"/>
    </row>
    <row r="189">
      <c r="A189" s="83"/>
      <c r="B189" s="83"/>
    </row>
    <row r="190">
      <c r="A190" s="83"/>
      <c r="B190" s="83"/>
    </row>
    <row r="191">
      <c r="A191" s="83"/>
      <c r="B191" s="83"/>
    </row>
    <row r="192">
      <c r="A192" s="83"/>
      <c r="B192" s="83"/>
    </row>
    <row r="193">
      <c r="A193" s="83"/>
      <c r="B193" s="83"/>
    </row>
    <row r="194">
      <c r="A194" s="83"/>
      <c r="B194" s="83"/>
    </row>
    <row r="195">
      <c r="A195" s="83"/>
      <c r="B195" s="83"/>
    </row>
    <row r="196">
      <c r="A196" s="83"/>
      <c r="B196" s="83"/>
    </row>
    <row r="197">
      <c r="A197" s="83"/>
      <c r="B197" s="83"/>
    </row>
    <row r="198">
      <c r="A198" s="83"/>
      <c r="B198" s="83"/>
    </row>
    <row r="199">
      <c r="A199" s="83"/>
      <c r="B199" s="83"/>
    </row>
    <row r="200">
      <c r="A200" s="83"/>
      <c r="B200" s="83"/>
    </row>
    <row r="201">
      <c r="A201" s="83"/>
      <c r="B201" s="83"/>
    </row>
    <row r="202">
      <c r="A202" s="83"/>
      <c r="B202" s="83"/>
    </row>
    <row r="203">
      <c r="A203" s="83"/>
      <c r="B203" s="83"/>
    </row>
    <row r="204">
      <c r="A204" s="83"/>
      <c r="B204" s="83"/>
    </row>
    <row r="205">
      <c r="A205" s="83"/>
      <c r="B205" s="83"/>
    </row>
    <row r="206">
      <c r="A206" s="83"/>
      <c r="B206" s="83"/>
    </row>
    <row r="207">
      <c r="A207" s="83"/>
      <c r="B207" s="83"/>
    </row>
    <row r="208">
      <c r="A208" s="83"/>
      <c r="B208" s="83"/>
    </row>
    <row r="209">
      <c r="A209" s="83"/>
      <c r="B209" s="83"/>
    </row>
    <row r="210">
      <c r="A210" s="83"/>
      <c r="B210" s="83"/>
    </row>
    <row r="211">
      <c r="A211" s="83"/>
      <c r="B211" s="83"/>
    </row>
    <row r="212">
      <c r="A212" s="83"/>
      <c r="B212" s="83"/>
    </row>
    <row r="213">
      <c r="A213" s="83"/>
      <c r="B213" s="83"/>
    </row>
    <row r="214">
      <c r="A214" s="83"/>
      <c r="B214" s="83"/>
    </row>
    <row r="215">
      <c r="A215" s="83"/>
      <c r="B215" s="83"/>
    </row>
    <row r="216">
      <c r="A216" s="83"/>
      <c r="B216" s="83"/>
    </row>
    <row r="217">
      <c r="A217" s="83"/>
      <c r="B217" s="83"/>
    </row>
    <row r="218">
      <c r="A218" s="83"/>
      <c r="B218" s="83"/>
    </row>
    <row r="219">
      <c r="A219" s="83"/>
      <c r="B219" s="83"/>
    </row>
    <row r="220">
      <c r="A220" s="83"/>
      <c r="B220" s="83"/>
    </row>
    <row r="221">
      <c r="A221" s="83"/>
      <c r="B221" s="83"/>
    </row>
    <row r="222">
      <c r="A222" s="83"/>
      <c r="B222" s="83"/>
    </row>
    <row r="223">
      <c r="A223" s="83"/>
      <c r="B223" s="83"/>
    </row>
    <row r="224">
      <c r="A224" s="83"/>
      <c r="B224" s="83"/>
    </row>
    <row r="225">
      <c r="A225" s="83"/>
      <c r="B225" s="83"/>
    </row>
    <row r="226">
      <c r="A226" s="83"/>
      <c r="B226" s="83"/>
    </row>
    <row r="227">
      <c r="A227" s="83"/>
      <c r="B227" s="83"/>
    </row>
    <row r="228">
      <c r="A228" s="83"/>
      <c r="B228" s="83"/>
    </row>
    <row r="229">
      <c r="A229" s="83"/>
      <c r="B229" s="83"/>
    </row>
    <row r="230">
      <c r="A230" s="83"/>
      <c r="B230" s="83"/>
    </row>
    <row r="231">
      <c r="A231" s="83"/>
      <c r="B231" s="83"/>
    </row>
    <row r="232">
      <c r="A232" s="83"/>
      <c r="B232" s="83"/>
    </row>
    <row r="233">
      <c r="A233" s="83"/>
      <c r="B233" s="83"/>
    </row>
    <row r="234">
      <c r="A234" s="83"/>
      <c r="B234" s="83"/>
    </row>
    <row r="235">
      <c r="A235" s="83"/>
      <c r="B235" s="83"/>
    </row>
    <row r="236">
      <c r="A236" s="83"/>
      <c r="B236" s="83"/>
    </row>
    <row r="237">
      <c r="A237" s="83"/>
      <c r="B237" s="83"/>
    </row>
    <row r="238">
      <c r="A238" s="83"/>
      <c r="B238" s="83"/>
    </row>
    <row r="239">
      <c r="A239" s="83"/>
      <c r="B239" s="83"/>
    </row>
    <row r="240">
      <c r="A240" s="83"/>
      <c r="B240" s="83"/>
    </row>
    <row r="241">
      <c r="A241" s="83"/>
      <c r="B241" s="83"/>
    </row>
    <row r="242">
      <c r="A242" s="83"/>
      <c r="B242" s="83"/>
    </row>
    <row r="243">
      <c r="A243" s="83"/>
      <c r="B243" s="83"/>
    </row>
    <row r="244">
      <c r="A244" s="83"/>
      <c r="B244" s="83"/>
    </row>
    <row r="245">
      <c r="A245" s="83"/>
      <c r="B245" s="83"/>
    </row>
    <row r="246">
      <c r="A246" s="83"/>
      <c r="B246" s="83"/>
    </row>
    <row r="247">
      <c r="A247" s="83"/>
      <c r="B247" s="83"/>
    </row>
    <row r="248">
      <c r="A248" s="83"/>
      <c r="B248" s="83"/>
    </row>
    <row r="249">
      <c r="A249" s="83"/>
      <c r="B249" s="83"/>
    </row>
    <row r="250">
      <c r="A250" s="83"/>
      <c r="B250" s="83"/>
    </row>
    <row r="251">
      <c r="A251" s="83"/>
      <c r="B251" s="83"/>
    </row>
    <row r="252">
      <c r="A252" s="83"/>
      <c r="B252" s="83"/>
    </row>
    <row r="253">
      <c r="A253" s="83"/>
      <c r="B253" s="83"/>
    </row>
    <row r="254">
      <c r="A254" s="83"/>
      <c r="B254" s="83"/>
    </row>
    <row r="255">
      <c r="A255" s="83"/>
      <c r="B255" s="83"/>
    </row>
    <row r="256">
      <c r="A256" s="83"/>
      <c r="B256" s="83"/>
    </row>
    <row r="257">
      <c r="A257" s="83"/>
      <c r="B257" s="83"/>
    </row>
    <row r="258">
      <c r="A258" s="83"/>
      <c r="B258" s="83"/>
    </row>
    <row r="259">
      <c r="A259" s="83"/>
      <c r="B259" s="83"/>
    </row>
    <row r="260">
      <c r="A260" s="83"/>
      <c r="B260" s="83"/>
    </row>
    <row r="261">
      <c r="A261" s="83"/>
      <c r="B261" s="83"/>
    </row>
    <row r="262">
      <c r="A262" s="83"/>
      <c r="B262" s="83"/>
    </row>
    <row r="263">
      <c r="A263" s="83"/>
      <c r="B263" s="83"/>
    </row>
    <row r="264">
      <c r="A264" s="83"/>
      <c r="B264" s="83"/>
    </row>
    <row r="265">
      <c r="A265" s="83"/>
      <c r="B265" s="83"/>
    </row>
    <row r="266">
      <c r="A266" s="83"/>
      <c r="B266" s="83"/>
    </row>
    <row r="267">
      <c r="A267" s="83"/>
      <c r="B267" s="83"/>
    </row>
    <row r="268">
      <c r="A268" s="83"/>
      <c r="B268" s="83"/>
    </row>
    <row r="269">
      <c r="A269" s="83"/>
      <c r="B269" s="83"/>
    </row>
    <row r="270">
      <c r="A270" s="83"/>
      <c r="B270" s="83"/>
    </row>
    <row r="271">
      <c r="A271" s="83"/>
      <c r="B271" s="83"/>
    </row>
    <row r="272">
      <c r="A272" s="83"/>
      <c r="B272" s="83"/>
    </row>
    <row r="273">
      <c r="A273" s="83"/>
      <c r="B273" s="83"/>
    </row>
    <row r="274">
      <c r="A274" s="83"/>
      <c r="B274" s="83"/>
    </row>
    <row r="275">
      <c r="A275" s="83"/>
      <c r="B275" s="83"/>
    </row>
    <row r="276">
      <c r="A276" s="83"/>
      <c r="B276" s="83"/>
    </row>
    <row r="277">
      <c r="A277" s="83"/>
      <c r="B277" s="83"/>
    </row>
    <row r="278">
      <c r="A278" s="83"/>
      <c r="B278" s="83"/>
    </row>
    <row r="279">
      <c r="A279" s="83"/>
      <c r="B279" s="83"/>
    </row>
    <row r="280">
      <c r="A280" s="83"/>
      <c r="B280" s="83"/>
    </row>
    <row r="281">
      <c r="A281" s="83"/>
      <c r="B281" s="83"/>
    </row>
    <row r="282">
      <c r="A282" s="83"/>
      <c r="B282" s="83"/>
    </row>
    <row r="283">
      <c r="A283" s="83"/>
      <c r="B283" s="83"/>
    </row>
    <row r="284">
      <c r="A284" s="83"/>
      <c r="B284" s="83"/>
    </row>
    <row r="285">
      <c r="A285" s="83"/>
      <c r="B285" s="83"/>
    </row>
    <row r="286">
      <c r="A286" s="83"/>
      <c r="B286" s="83"/>
    </row>
    <row r="287">
      <c r="A287" s="83"/>
      <c r="B287" s="83"/>
    </row>
    <row r="288">
      <c r="A288" s="83"/>
      <c r="B288" s="83"/>
    </row>
    <row r="289">
      <c r="A289" s="83"/>
      <c r="B289" s="83"/>
    </row>
    <row r="290">
      <c r="A290" s="83"/>
      <c r="B290" s="83"/>
    </row>
    <row r="291">
      <c r="A291" s="83"/>
      <c r="B291" s="83"/>
    </row>
    <row r="292">
      <c r="A292" s="83"/>
      <c r="B292" s="83"/>
    </row>
    <row r="293">
      <c r="A293" s="83"/>
      <c r="B293" s="83"/>
    </row>
    <row r="294">
      <c r="A294" s="83"/>
      <c r="B294" s="83"/>
    </row>
    <row r="295">
      <c r="A295" s="83"/>
      <c r="B295" s="83"/>
    </row>
    <row r="296">
      <c r="A296" s="83"/>
      <c r="B296" s="83"/>
    </row>
    <row r="297">
      <c r="A297" s="83"/>
      <c r="B297" s="83"/>
    </row>
    <row r="298">
      <c r="A298" s="83"/>
      <c r="B298" s="83"/>
    </row>
    <row r="299">
      <c r="A299" s="83"/>
      <c r="B299" s="83"/>
    </row>
    <row r="300">
      <c r="A300" s="83"/>
      <c r="B300" s="83"/>
    </row>
    <row r="301">
      <c r="A301" s="83"/>
      <c r="B301" s="83"/>
    </row>
    <row r="302">
      <c r="A302" s="83"/>
      <c r="B302" s="83"/>
    </row>
    <row r="303">
      <c r="A303" s="83"/>
      <c r="B303" s="83"/>
    </row>
    <row r="304">
      <c r="A304" s="83"/>
      <c r="B304" s="83"/>
    </row>
    <row r="305">
      <c r="A305" s="83"/>
      <c r="B305" s="83"/>
    </row>
    <row r="306">
      <c r="A306" s="83"/>
      <c r="B306" s="83"/>
    </row>
    <row r="307">
      <c r="A307" s="83"/>
      <c r="B307" s="83"/>
    </row>
    <row r="308">
      <c r="A308" s="83"/>
      <c r="B308" s="83"/>
    </row>
    <row r="309">
      <c r="A309" s="83"/>
      <c r="B309" s="83"/>
    </row>
    <row r="310">
      <c r="A310" s="83"/>
      <c r="B310" s="83"/>
    </row>
    <row r="311">
      <c r="A311" s="83"/>
      <c r="B311" s="83"/>
    </row>
    <row r="312">
      <c r="A312" s="83"/>
      <c r="B312" s="83"/>
    </row>
    <row r="313">
      <c r="A313" s="83"/>
      <c r="B313" s="83"/>
    </row>
    <row r="314">
      <c r="A314" s="83"/>
      <c r="B314" s="83"/>
    </row>
    <row r="315">
      <c r="A315" s="83"/>
      <c r="B315" s="83"/>
    </row>
    <row r="316">
      <c r="A316" s="83"/>
      <c r="B316" s="83"/>
    </row>
    <row r="317">
      <c r="A317" s="83"/>
      <c r="B317" s="83"/>
    </row>
    <row r="318">
      <c r="A318" s="83"/>
      <c r="B318" s="83"/>
    </row>
    <row r="319">
      <c r="A319" s="83"/>
      <c r="B319" s="83"/>
    </row>
    <row r="320">
      <c r="A320" s="83"/>
      <c r="B320" s="83"/>
    </row>
    <row r="321">
      <c r="A321" s="83"/>
      <c r="B321" s="83"/>
    </row>
    <row r="322">
      <c r="A322" s="83"/>
      <c r="B322" s="83"/>
    </row>
    <row r="323">
      <c r="A323" s="83"/>
      <c r="B323" s="83"/>
    </row>
    <row r="324">
      <c r="A324" s="83"/>
      <c r="B324" s="83"/>
    </row>
    <row r="325">
      <c r="A325" s="83"/>
      <c r="B325" s="83"/>
    </row>
    <row r="326">
      <c r="A326" s="83"/>
      <c r="B326" s="83"/>
    </row>
    <row r="327">
      <c r="A327" s="83"/>
      <c r="B327" s="83"/>
    </row>
    <row r="328">
      <c r="A328" s="83"/>
      <c r="B328" s="83"/>
    </row>
    <row r="329">
      <c r="A329" s="83"/>
      <c r="B329" s="83"/>
    </row>
    <row r="330">
      <c r="A330" s="83"/>
      <c r="B330" s="83"/>
    </row>
    <row r="331">
      <c r="A331" s="83"/>
      <c r="B331" s="83"/>
    </row>
    <row r="332">
      <c r="A332" s="83"/>
      <c r="B332" s="83"/>
    </row>
    <row r="333">
      <c r="A333" s="83"/>
      <c r="B333" s="83"/>
    </row>
    <row r="334">
      <c r="A334" s="83"/>
      <c r="B334" s="83"/>
    </row>
    <row r="335">
      <c r="A335" s="83"/>
      <c r="B335" s="83"/>
    </row>
    <row r="336">
      <c r="A336" s="83"/>
      <c r="B336" s="83"/>
    </row>
    <row r="337">
      <c r="A337" s="83"/>
      <c r="B337" s="83"/>
    </row>
    <row r="338">
      <c r="A338" s="83"/>
      <c r="B338" s="83"/>
    </row>
    <row r="339">
      <c r="A339" s="83"/>
      <c r="B339" s="83"/>
    </row>
    <row r="340">
      <c r="A340" s="83"/>
      <c r="B340" s="83"/>
    </row>
    <row r="341">
      <c r="A341" s="83"/>
      <c r="B341" s="83"/>
    </row>
    <row r="342">
      <c r="A342" s="83"/>
      <c r="B342" s="83"/>
    </row>
    <row r="343">
      <c r="A343" s="83"/>
      <c r="B343" s="83"/>
    </row>
    <row r="344">
      <c r="A344" s="83"/>
      <c r="B344" s="83"/>
    </row>
    <row r="345">
      <c r="A345" s="83"/>
      <c r="B345" s="83"/>
    </row>
    <row r="346">
      <c r="A346" s="83"/>
      <c r="B346" s="83"/>
    </row>
    <row r="347">
      <c r="A347" s="83"/>
      <c r="B347" s="83"/>
    </row>
    <row r="348">
      <c r="A348" s="83"/>
      <c r="B348" s="83"/>
    </row>
    <row r="349">
      <c r="A349" s="83"/>
      <c r="B349" s="83"/>
    </row>
    <row r="350">
      <c r="A350" s="83"/>
      <c r="B350" s="83"/>
    </row>
    <row r="351">
      <c r="A351" s="83"/>
      <c r="B351" s="83"/>
    </row>
    <row r="352">
      <c r="A352" s="83"/>
      <c r="B352" s="83"/>
    </row>
    <row r="353">
      <c r="A353" s="83"/>
      <c r="B353" s="83"/>
    </row>
    <row r="354">
      <c r="A354" s="83"/>
      <c r="B354" s="83"/>
    </row>
    <row r="355">
      <c r="A355" s="83"/>
      <c r="B355" s="83"/>
    </row>
    <row r="356">
      <c r="A356" s="83"/>
      <c r="B356" s="83"/>
    </row>
    <row r="357">
      <c r="A357" s="83"/>
      <c r="B357" s="83"/>
    </row>
    <row r="358">
      <c r="A358" s="83"/>
      <c r="B358" s="83"/>
    </row>
    <row r="359">
      <c r="A359" s="83"/>
      <c r="B359" s="83"/>
    </row>
    <row r="360">
      <c r="A360" s="83"/>
      <c r="B360" s="83"/>
    </row>
    <row r="361">
      <c r="A361" s="83"/>
      <c r="B361" s="83"/>
    </row>
    <row r="362">
      <c r="A362" s="83"/>
      <c r="B362" s="83"/>
    </row>
    <row r="363">
      <c r="A363" s="83"/>
      <c r="B363" s="83"/>
    </row>
    <row r="364">
      <c r="A364" s="83"/>
      <c r="B364" s="83"/>
    </row>
    <row r="365">
      <c r="A365" s="83"/>
      <c r="B365" s="83"/>
    </row>
    <row r="366">
      <c r="A366" s="83"/>
      <c r="B366" s="83"/>
    </row>
    <row r="367">
      <c r="A367" s="83"/>
      <c r="B367" s="83"/>
    </row>
    <row r="368">
      <c r="A368" s="83"/>
      <c r="B368" s="83"/>
    </row>
    <row r="369">
      <c r="A369" s="83"/>
      <c r="B369" s="83"/>
    </row>
    <row r="370">
      <c r="A370" s="83"/>
      <c r="B370" s="83"/>
    </row>
    <row r="371">
      <c r="A371" s="83"/>
      <c r="B371" s="83"/>
    </row>
    <row r="372">
      <c r="A372" s="83"/>
      <c r="B372" s="83"/>
    </row>
    <row r="373">
      <c r="A373" s="83"/>
      <c r="B373" s="83"/>
    </row>
    <row r="374">
      <c r="A374" s="83"/>
      <c r="B374" s="83"/>
    </row>
    <row r="375">
      <c r="A375" s="83"/>
      <c r="B375" s="83"/>
    </row>
    <row r="376">
      <c r="A376" s="83"/>
      <c r="B376" s="83"/>
    </row>
    <row r="377">
      <c r="A377" s="83"/>
      <c r="B377" s="83"/>
    </row>
    <row r="378">
      <c r="A378" s="83"/>
      <c r="B378" s="83"/>
    </row>
    <row r="379">
      <c r="A379" s="83"/>
      <c r="B379" s="83"/>
    </row>
    <row r="380">
      <c r="A380" s="83"/>
      <c r="B380" s="83"/>
    </row>
    <row r="381">
      <c r="A381" s="83"/>
      <c r="B381" s="83"/>
    </row>
    <row r="382">
      <c r="A382" s="83"/>
      <c r="B382" s="83"/>
    </row>
    <row r="383">
      <c r="A383" s="83"/>
      <c r="B383" s="83"/>
    </row>
    <row r="384">
      <c r="A384" s="83"/>
      <c r="B384" s="83"/>
    </row>
    <row r="385">
      <c r="A385" s="83"/>
      <c r="B385" s="83"/>
    </row>
    <row r="386">
      <c r="A386" s="83"/>
      <c r="B386" s="83"/>
    </row>
    <row r="387">
      <c r="A387" s="83"/>
      <c r="B387" s="83"/>
    </row>
    <row r="388">
      <c r="A388" s="83"/>
      <c r="B388" s="83"/>
    </row>
    <row r="389">
      <c r="A389" s="83"/>
      <c r="B389" s="83"/>
    </row>
    <row r="390">
      <c r="A390" s="83"/>
      <c r="B390" s="83"/>
    </row>
    <row r="391">
      <c r="A391" s="83"/>
      <c r="B391" s="83"/>
    </row>
    <row r="392">
      <c r="A392" s="83"/>
      <c r="B392" s="83"/>
    </row>
    <row r="393">
      <c r="A393" s="83"/>
      <c r="B393" s="83"/>
    </row>
    <row r="394">
      <c r="A394" s="83"/>
      <c r="B394" s="83"/>
    </row>
    <row r="395">
      <c r="A395" s="83"/>
      <c r="B395" s="83"/>
    </row>
    <row r="396">
      <c r="A396" s="83"/>
      <c r="B396" s="83"/>
    </row>
    <row r="397">
      <c r="A397" s="83"/>
      <c r="B397" s="83"/>
    </row>
    <row r="398">
      <c r="A398" s="83"/>
      <c r="B398" s="83"/>
    </row>
    <row r="399">
      <c r="A399" s="83"/>
      <c r="B399" s="83"/>
    </row>
    <row r="400">
      <c r="A400" s="83"/>
      <c r="B400" s="83"/>
    </row>
    <row r="401">
      <c r="A401" s="83"/>
      <c r="B401" s="83"/>
    </row>
    <row r="402">
      <c r="A402" s="83"/>
      <c r="B402" s="83"/>
    </row>
    <row r="403">
      <c r="A403" s="83"/>
      <c r="B403" s="83"/>
    </row>
    <row r="404">
      <c r="A404" s="83"/>
      <c r="B404" s="83"/>
    </row>
    <row r="405">
      <c r="A405" s="83"/>
      <c r="B405" s="83"/>
    </row>
    <row r="406">
      <c r="A406" s="83"/>
      <c r="B406" s="83"/>
    </row>
    <row r="407">
      <c r="A407" s="83"/>
      <c r="B407" s="83"/>
    </row>
    <row r="408">
      <c r="A408" s="83"/>
      <c r="B408" s="83"/>
    </row>
    <row r="409">
      <c r="A409" s="83"/>
      <c r="B409" s="83"/>
    </row>
    <row r="410">
      <c r="A410" s="83"/>
      <c r="B410" s="83"/>
    </row>
    <row r="411">
      <c r="A411" s="83"/>
      <c r="B411" s="83"/>
    </row>
    <row r="412">
      <c r="A412" s="83"/>
      <c r="B412" s="83"/>
    </row>
    <row r="413">
      <c r="A413" s="83"/>
      <c r="B413" s="83"/>
    </row>
    <row r="414">
      <c r="A414" s="83"/>
      <c r="B414" s="83"/>
    </row>
    <row r="415">
      <c r="A415" s="83"/>
      <c r="B415" s="83"/>
    </row>
    <row r="416">
      <c r="A416" s="83"/>
      <c r="B416" s="83"/>
    </row>
    <row r="417">
      <c r="A417" s="83"/>
      <c r="B417" s="83"/>
    </row>
    <row r="418">
      <c r="A418" s="83"/>
      <c r="B418" s="83"/>
    </row>
    <row r="419">
      <c r="A419" s="83"/>
      <c r="B419" s="83"/>
    </row>
    <row r="420">
      <c r="A420" s="83"/>
      <c r="B420" s="83"/>
    </row>
    <row r="421">
      <c r="A421" s="83"/>
      <c r="B421" s="83"/>
    </row>
    <row r="422">
      <c r="A422" s="83"/>
      <c r="B422" s="83"/>
    </row>
    <row r="423">
      <c r="A423" s="83"/>
      <c r="B423" s="83"/>
    </row>
    <row r="424">
      <c r="A424" s="83"/>
      <c r="B424" s="83"/>
    </row>
    <row r="425">
      <c r="A425" s="83"/>
      <c r="B425" s="83"/>
    </row>
    <row r="426">
      <c r="A426" s="83"/>
      <c r="B426" s="83"/>
    </row>
    <row r="427">
      <c r="A427" s="83"/>
      <c r="B427" s="83"/>
    </row>
    <row r="428">
      <c r="A428" s="83"/>
      <c r="B428" s="83"/>
    </row>
    <row r="429">
      <c r="A429" s="83"/>
      <c r="B429" s="83"/>
    </row>
    <row r="430">
      <c r="A430" s="83"/>
      <c r="B430" s="83"/>
    </row>
    <row r="431">
      <c r="A431" s="83"/>
      <c r="B431" s="83"/>
    </row>
    <row r="432">
      <c r="A432" s="83"/>
      <c r="B432" s="83"/>
    </row>
    <row r="433">
      <c r="A433" s="83"/>
      <c r="B433" s="83"/>
    </row>
    <row r="434">
      <c r="A434" s="83"/>
      <c r="B434" s="83"/>
    </row>
    <row r="435">
      <c r="A435" s="83"/>
      <c r="B435" s="83"/>
    </row>
    <row r="436">
      <c r="A436" s="83"/>
      <c r="B436" s="83"/>
    </row>
    <row r="437">
      <c r="A437" s="83"/>
      <c r="B437" s="83"/>
    </row>
    <row r="438">
      <c r="A438" s="83"/>
      <c r="B438" s="83"/>
    </row>
    <row r="439">
      <c r="A439" s="83"/>
      <c r="B439" s="83"/>
    </row>
    <row r="440">
      <c r="A440" s="83"/>
      <c r="B440" s="83"/>
    </row>
    <row r="441">
      <c r="A441" s="83"/>
      <c r="B441" s="83"/>
    </row>
    <row r="442">
      <c r="A442" s="83"/>
      <c r="B442" s="83"/>
    </row>
    <row r="443">
      <c r="A443" s="83"/>
      <c r="B443" s="83"/>
    </row>
    <row r="444">
      <c r="A444" s="83"/>
      <c r="B444" s="83"/>
    </row>
    <row r="445">
      <c r="A445" s="83"/>
      <c r="B445" s="83"/>
    </row>
    <row r="446">
      <c r="A446" s="83"/>
      <c r="B446" s="83"/>
    </row>
    <row r="447">
      <c r="A447" s="83"/>
      <c r="B447" s="83"/>
    </row>
    <row r="448">
      <c r="A448" s="83"/>
      <c r="B448" s="83"/>
    </row>
    <row r="449">
      <c r="A449" s="83"/>
      <c r="B449" s="83"/>
    </row>
    <row r="450">
      <c r="A450" s="83"/>
      <c r="B450" s="83"/>
    </row>
    <row r="451">
      <c r="A451" s="83"/>
      <c r="B451" s="83"/>
    </row>
    <row r="452">
      <c r="A452" s="83"/>
      <c r="B452" s="83"/>
    </row>
    <row r="453">
      <c r="A453" s="83"/>
      <c r="B453" s="83"/>
    </row>
    <row r="454">
      <c r="A454" s="83"/>
      <c r="B454" s="83"/>
    </row>
    <row r="455">
      <c r="A455" s="83"/>
      <c r="B455" s="83"/>
    </row>
    <row r="456">
      <c r="A456" s="83"/>
      <c r="B456" s="83"/>
    </row>
    <row r="457">
      <c r="A457" s="83"/>
      <c r="B457" s="83"/>
    </row>
    <row r="458">
      <c r="A458" s="83"/>
      <c r="B458" s="83"/>
    </row>
    <row r="459">
      <c r="A459" s="83"/>
      <c r="B459" s="83"/>
    </row>
    <row r="460">
      <c r="A460" s="83"/>
      <c r="B460" s="83"/>
    </row>
    <row r="461">
      <c r="A461" s="83"/>
      <c r="B461" s="83"/>
    </row>
    <row r="462">
      <c r="A462" s="83"/>
      <c r="B462" s="83"/>
    </row>
    <row r="463">
      <c r="A463" s="83"/>
      <c r="B463" s="83"/>
    </row>
    <row r="464">
      <c r="A464" s="83"/>
      <c r="B464" s="83"/>
    </row>
    <row r="465">
      <c r="A465" s="83"/>
      <c r="B465" s="83"/>
    </row>
    <row r="466">
      <c r="A466" s="83"/>
      <c r="B466" s="83"/>
    </row>
    <row r="467">
      <c r="A467" s="83"/>
      <c r="B467" s="83"/>
    </row>
    <row r="468">
      <c r="A468" s="83"/>
      <c r="B468" s="83"/>
    </row>
    <row r="469">
      <c r="A469" s="83"/>
      <c r="B469" s="83"/>
    </row>
    <row r="470">
      <c r="A470" s="83"/>
      <c r="B470" s="83"/>
    </row>
    <row r="471">
      <c r="A471" s="83"/>
      <c r="B471" s="83"/>
    </row>
    <row r="472">
      <c r="A472" s="83"/>
      <c r="B472" s="83"/>
    </row>
    <row r="473">
      <c r="A473" s="83"/>
      <c r="B473" s="83"/>
    </row>
    <row r="474">
      <c r="A474" s="83"/>
      <c r="B474" s="83"/>
    </row>
    <row r="475">
      <c r="A475" s="83"/>
      <c r="B475" s="83"/>
    </row>
    <row r="476">
      <c r="A476" s="83"/>
      <c r="B476" s="83"/>
    </row>
    <row r="477">
      <c r="A477" s="83"/>
      <c r="B477" s="83"/>
    </row>
    <row r="478">
      <c r="A478" s="83"/>
      <c r="B478" s="83"/>
    </row>
    <row r="479">
      <c r="A479" s="83"/>
      <c r="B479" s="83"/>
    </row>
    <row r="480">
      <c r="A480" s="83"/>
      <c r="B480" s="83"/>
    </row>
    <row r="481">
      <c r="A481" s="83"/>
      <c r="B481" s="83"/>
    </row>
    <row r="482">
      <c r="A482" s="83"/>
      <c r="B482" s="83"/>
    </row>
    <row r="483">
      <c r="A483" s="83"/>
      <c r="B483" s="83"/>
    </row>
    <row r="484">
      <c r="A484" s="83"/>
      <c r="B484" s="83"/>
    </row>
    <row r="485">
      <c r="A485" s="83"/>
      <c r="B485" s="83"/>
    </row>
    <row r="486">
      <c r="A486" s="83"/>
      <c r="B486" s="83"/>
    </row>
    <row r="487">
      <c r="A487" s="83"/>
      <c r="B487" s="83"/>
    </row>
    <row r="488">
      <c r="A488" s="83"/>
      <c r="B488" s="83"/>
    </row>
    <row r="489">
      <c r="A489" s="83"/>
      <c r="B489" s="83"/>
    </row>
    <row r="490">
      <c r="A490" s="83"/>
      <c r="B490" s="83"/>
    </row>
    <row r="491">
      <c r="A491" s="83"/>
      <c r="B491" s="83"/>
    </row>
    <row r="492">
      <c r="A492" s="83"/>
      <c r="B492" s="83"/>
    </row>
    <row r="493">
      <c r="A493" s="83"/>
      <c r="B493" s="83"/>
    </row>
    <row r="494">
      <c r="A494" s="83"/>
      <c r="B494" s="83"/>
    </row>
    <row r="495">
      <c r="A495" s="83"/>
      <c r="B495" s="83"/>
    </row>
    <row r="496">
      <c r="A496" s="83"/>
      <c r="B496" s="83"/>
    </row>
    <row r="497">
      <c r="A497" s="83"/>
      <c r="B497" s="83"/>
    </row>
    <row r="498">
      <c r="A498" s="83"/>
      <c r="B498" s="83"/>
    </row>
    <row r="499">
      <c r="A499" s="83"/>
      <c r="B499" s="83"/>
    </row>
    <row r="500">
      <c r="A500" s="83"/>
      <c r="B500" s="83"/>
    </row>
    <row r="501">
      <c r="A501" s="83"/>
      <c r="B501" s="83"/>
    </row>
    <row r="502">
      <c r="A502" s="83"/>
      <c r="B502" s="83"/>
    </row>
    <row r="503">
      <c r="A503" s="83"/>
      <c r="B503" s="83"/>
    </row>
    <row r="504">
      <c r="A504" s="83"/>
      <c r="B504" s="83"/>
    </row>
    <row r="505">
      <c r="A505" s="83"/>
      <c r="B505" s="83"/>
    </row>
    <row r="506">
      <c r="A506" s="83"/>
      <c r="B506" s="83"/>
    </row>
    <row r="507">
      <c r="A507" s="83"/>
      <c r="B507" s="83"/>
    </row>
    <row r="508">
      <c r="A508" s="83"/>
      <c r="B508" s="83"/>
    </row>
    <row r="509">
      <c r="A509" s="83"/>
      <c r="B509" s="83"/>
    </row>
    <row r="510">
      <c r="A510" s="83"/>
      <c r="B510" s="83"/>
    </row>
    <row r="511">
      <c r="A511" s="83"/>
      <c r="B511" s="83"/>
    </row>
    <row r="512">
      <c r="A512" s="83"/>
      <c r="B512" s="83"/>
    </row>
    <row r="513">
      <c r="A513" s="83"/>
      <c r="B513" s="83"/>
    </row>
    <row r="514">
      <c r="A514" s="83"/>
      <c r="B514" s="83"/>
    </row>
    <row r="515">
      <c r="A515" s="83"/>
      <c r="B515" s="83"/>
    </row>
    <row r="516">
      <c r="A516" s="83"/>
      <c r="B516" s="83"/>
    </row>
    <row r="517">
      <c r="A517" s="83"/>
      <c r="B517" s="83"/>
    </row>
    <row r="518">
      <c r="A518" s="83"/>
      <c r="B518" s="83"/>
    </row>
    <row r="519">
      <c r="A519" s="83"/>
      <c r="B519" s="83"/>
    </row>
    <row r="520">
      <c r="A520" s="83"/>
      <c r="B520" s="83"/>
    </row>
    <row r="521">
      <c r="A521" s="83"/>
      <c r="B521" s="83"/>
    </row>
    <row r="522">
      <c r="A522" s="83"/>
      <c r="B522" s="83"/>
    </row>
    <row r="523">
      <c r="A523" s="83"/>
      <c r="B523" s="83"/>
    </row>
    <row r="524">
      <c r="A524" s="83"/>
      <c r="B524" s="83"/>
    </row>
    <row r="525">
      <c r="A525" s="83"/>
      <c r="B525" s="83"/>
    </row>
    <row r="526">
      <c r="A526" s="83"/>
      <c r="B526" s="83"/>
    </row>
    <row r="527">
      <c r="A527" s="83"/>
      <c r="B527" s="83"/>
    </row>
    <row r="528">
      <c r="A528" s="83"/>
      <c r="B528" s="83"/>
    </row>
    <row r="529">
      <c r="A529" s="83"/>
      <c r="B529" s="83"/>
    </row>
    <row r="530">
      <c r="A530" s="83"/>
      <c r="B530" s="83"/>
    </row>
    <row r="531">
      <c r="A531" s="83"/>
      <c r="B531" s="83"/>
    </row>
    <row r="532">
      <c r="A532" s="83"/>
      <c r="B532" s="83"/>
    </row>
    <row r="533">
      <c r="A533" s="83"/>
      <c r="B533" s="83"/>
    </row>
    <row r="534">
      <c r="A534" s="83"/>
      <c r="B534" s="83"/>
    </row>
    <row r="535">
      <c r="A535" s="83"/>
      <c r="B535" s="83"/>
    </row>
    <row r="536">
      <c r="A536" s="83"/>
      <c r="B536" s="83"/>
    </row>
    <row r="537">
      <c r="A537" s="83"/>
      <c r="B537" s="83"/>
    </row>
    <row r="538">
      <c r="A538" s="83"/>
      <c r="B538" s="83"/>
    </row>
    <row r="539">
      <c r="A539" s="83"/>
      <c r="B539" s="83"/>
    </row>
    <row r="540">
      <c r="A540" s="83"/>
      <c r="B540" s="83"/>
    </row>
    <row r="541">
      <c r="A541" s="83"/>
      <c r="B541" s="83"/>
    </row>
    <row r="542">
      <c r="A542" s="83"/>
      <c r="B542" s="83"/>
    </row>
    <row r="543">
      <c r="A543" s="83"/>
      <c r="B543" s="83"/>
    </row>
    <row r="544">
      <c r="A544" s="83"/>
      <c r="B544" s="83"/>
    </row>
    <row r="545">
      <c r="A545" s="83"/>
      <c r="B545" s="83"/>
    </row>
    <row r="546">
      <c r="A546" s="83"/>
      <c r="B546" s="83"/>
    </row>
    <row r="547">
      <c r="A547" s="83"/>
      <c r="B547" s="83"/>
    </row>
    <row r="548">
      <c r="A548" s="83"/>
      <c r="B548" s="83"/>
    </row>
    <row r="549">
      <c r="A549" s="83"/>
      <c r="B549" s="83"/>
    </row>
    <row r="550">
      <c r="A550" s="83"/>
      <c r="B550" s="83"/>
    </row>
    <row r="551">
      <c r="A551" s="83"/>
      <c r="B551" s="83"/>
    </row>
    <row r="552">
      <c r="A552" s="83"/>
      <c r="B552" s="83"/>
    </row>
    <row r="553">
      <c r="A553" s="83"/>
      <c r="B553" s="83"/>
    </row>
    <row r="554">
      <c r="A554" s="83"/>
      <c r="B554" s="83"/>
    </row>
    <row r="555">
      <c r="A555" s="83"/>
      <c r="B555" s="83"/>
    </row>
    <row r="556">
      <c r="A556" s="83"/>
      <c r="B556" s="83"/>
    </row>
    <row r="557">
      <c r="A557" s="83"/>
      <c r="B557" s="83"/>
    </row>
    <row r="558">
      <c r="A558" s="83"/>
      <c r="B558" s="83"/>
    </row>
    <row r="559">
      <c r="A559" s="83"/>
      <c r="B559" s="83"/>
    </row>
    <row r="560">
      <c r="A560" s="83"/>
      <c r="B560" s="83"/>
    </row>
    <row r="561">
      <c r="A561" s="83"/>
      <c r="B561" s="83"/>
    </row>
    <row r="562">
      <c r="A562" s="83"/>
      <c r="B562" s="83"/>
    </row>
    <row r="563">
      <c r="A563" s="83"/>
      <c r="B563" s="83"/>
    </row>
    <row r="564">
      <c r="A564" s="83"/>
      <c r="B564" s="83"/>
    </row>
    <row r="565">
      <c r="A565" s="83"/>
      <c r="B565" s="83"/>
    </row>
    <row r="566">
      <c r="A566" s="83"/>
      <c r="B566" s="83"/>
    </row>
    <row r="567">
      <c r="A567" s="83"/>
      <c r="B567" s="83"/>
    </row>
    <row r="568">
      <c r="A568" s="83"/>
      <c r="B568" s="83"/>
    </row>
    <row r="569">
      <c r="A569" s="83"/>
      <c r="B569" s="83"/>
    </row>
    <row r="570">
      <c r="A570" s="83"/>
      <c r="B570" s="83"/>
    </row>
    <row r="571">
      <c r="A571" s="83"/>
      <c r="B571" s="83"/>
    </row>
    <row r="572">
      <c r="A572" s="83"/>
      <c r="B572" s="83"/>
    </row>
    <row r="573">
      <c r="A573" s="83"/>
      <c r="B573" s="83"/>
    </row>
    <row r="574">
      <c r="A574" s="83"/>
      <c r="B574" s="83"/>
    </row>
    <row r="575">
      <c r="A575" s="83"/>
      <c r="B575" s="83"/>
    </row>
    <row r="576">
      <c r="A576" s="83"/>
      <c r="B576" s="83"/>
    </row>
    <row r="577">
      <c r="A577" s="83"/>
      <c r="B577" s="83"/>
    </row>
    <row r="578">
      <c r="A578" s="83"/>
      <c r="B578" s="83"/>
    </row>
    <row r="579">
      <c r="A579" s="83"/>
      <c r="B579" s="83"/>
    </row>
    <row r="580">
      <c r="A580" s="83"/>
      <c r="B580" s="83"/>
    </row>
    <row r="581">
      <c r="A581" s="83"/>
      <c r="B581" s="83"/>
    </row>
    <row r="582">
      <c r="A582" s="83"/>
      <c r="B582" s="83"/>
    </row>
    <row r="583">
      <c r="A583" s="83"/>
      <c r="B583" s="83"/>
    </row>
    <row r="584">
      <c r="A584" s="83"/>
      <c r="B584" s="83"/>
    </row>
    <row r="585">
      <c r="A585" s="83"/>
      <c r="B585" s="83"/>
    </row>
    <row r="586">
      <c r="A586" s="83"/>
      <c r="B586" s="83"/>
    </row>
    <row r="587">
      <c r="A587" s="83"/>
      <c r="B587" s="83"/>
    </row>
    <row r="588">
      <c r="A588" s="83"/>
      <c r="B588" s="83"/>
    </row>
    <row r="589">
      <c r="A589" s="83"/>
      <c r="B589" s="83"/>
    </row>
    <row r="590">
      <c r="A590" s="83"/>
      <c r="B590" s="83"/>
    </row>
    <row r="591">
      <c r="A591" s="83"/>
      <c r="B591" s="83"/>
    </row>
    <row r="592">
      <c r="A592" s="83"/>
      <c r="B592" s="83"/>
    </row>
    <row r="593">
      <c r="A593" s="83"/>
      <c r="B593" s="83"/>
    </row>
    <row r="594">
      <c r="A594" s="83"/>
      <c r="B594" s="83"/>
    </row>
    <row r="595">
      <c r="A595" s="83"/>
      <c r="B595" s="83"/>
    </row>
    <row r="596">
      <c r="A596" s="83"/>
      <c r="B596" s="83"/>
    </row>
    <row r="597">
      <c r="A597" s="83"/>
      <c r="B597" s="83"/>
    </row>
    <row r="598">
      <c r="A598" s="83"/>
      <c r="B598" s="83"/>
    </row>
    <row r="599">
      <c r="A599" s="83"/>
      <c r="B599" s="83"/>
    </row>
    <row r="600">
      <c r="A600" s="83"/>
      <c r="B600" s="83"/>
    </row>
    <row r="601">
      <c r="A601" s="83"/>
      <c r="B601" s="83"/>
    </row>
    <row r="602">
      <c r="A602" s="83"/>
      <c r="B602" s="83"/>
    </row>
    <row r="603">
      <c r="A603" s="83"/>
      <c r="B603" s="83"/>
    </row>
    <row r="604">
      <c r="A604" s="83"/>
      <c r="B604" s="83"/>
    </row>
    <row r="605">
      <c r="A605" s="83"/>
      <c r="B605" s="83"/>
    </row>
    <row r="606">
      <c r="A606" s="83"/>
      <c r="B606" s="83"/>
    </row>
    <row r="607">
      <c r="A607" s="83"/>
      <c r="B607" s="83"/>
    </row>
    <row r="608">
      <c r="A608" s="83"/>
      <c r="B608" s="83"/>
    </row>
    <row r="609">
      <c r="A609" s="83"/>
      <c r="B609" s="83"/>
    </row>
    <row r="610">
      <c r="A610" s="83"/>
      <c r="B610" s="83"/>
    </row>
    <row r="611">
      <c r="A611" s="83"/>
      <c r="B611" s="83"/>
    </row>
    <row r="612">
      <c r="A612" s="83"/>
      <c r="B612" s="83"/>
    </row>
    <row r="613">
      <c r="A613" s="83"/>
      <c r="B613" s="83"/>
    </row>
    <row r="614">
      <c r="A614" s="83"/>
      <c r="B614" s="83"/>
    </row>
    <row r="615">
      <c r="A615" s="83"/>
      <c r="B615" s="83"/>
    </row>
    <row r="616">
      <c r="A616" s="83"/>
      <c r="B616" s="83"/>
    </row>
    <row r="617">
      <c r="A617" s="83"/>
      <c r="B617" s="83"/>
    </row>
    <row r="618">
      <c r="A618" s="83"/>
      <c r="B618" s="83"/>
    </row>
    <row r="619">
      <c r="A619" s="83"/>
      <c r="B619" s="83"/>
    </row>
    <row r="620">
      <c r="A620" s="83"/>
      <c r="B620" s="83"/>
    </row>
    <row r="621">
      <c r="A621" s="83"/>
      <c r="B621" s="83"/>
    </row>
    <row r="622">
      <c r="A622" s="83"/>
      <c r="B622" s="83"/>
    </row>
    <row r="623">
      <c r="A623" s="83"/>
      <c r="B623" s="83"/>
    </row>
    <row r="624">
      <c r="A624" s="83"/>
      <c r="B624" s="83"/>
    </row>
    <row r="625">
      <c r="A625" s="83"/>
      <c r="B625" s="83"/>
    </row>
    <row r="626">
      <c r="A626" s="83"/>
      <c r="B626" s="83"/>
    </row>
    <row r="627">
      <c r="A627" s="83"/>
      <c r="B627" s="83"/>
    </row>
    <row r="628">
      <c r="A628" s="83"/>
      <c r="B628" s="83"/>
    </row>
    <row r="629">
      <c r="A629" s="83"/>
      <c r="B629" s="83"/>
    </row>
    <row r="630">
      <c r="A630" s="83"/>
      <c r="B630" s="83"/>
    </row>
    <row r="631">
      <c r="A631" s="83"/>
      <c r="B631" s="83"/>
    </row>
    <row r="632">
      <c r="A632" s="83"/>
      <c r="B632" s="83"/>
    </row>
    <row r="633">
      <c r="A633" s="83"/>
      <c r="B633" s="83"/>
    </row>
    <row r="634">
      <c r="A634" s="83"/>
      <c r="B634" s="83"/>
    </row>
    <row r="635">
      <c r="A635" s="83"/>
      <c r="B635" s="83"/>
    </row>
    <row r="636">
      <c r="A636" s="83"/>
      <c r="B636" s="83"/>
    </row>
    <row r="637">
      <c r="A637" s="83"/>
      <c r="B637" s="83"/>
    </row>
    <row r="638">
      <c r="A638" s="83"/>
      <c r="B638" s="83"/>
    </row>
    <row r="639">
      <c r="A639" s="83"/>
      <c r="B639" s="83"/>
    </row>
    <row r="640">
      <c r="A640" s="83"/>
      <c r="B640" s="83"/>
    </row>
    <row r="641">
      <c r="A641" s="83"/>
      <c r="B641" s="83"/>
    </row>
    <row r="642">
      <c r="A642" s="83"/>
      <c r="B642" s="83"/>
    </row>
    <row r="643">
      <c r="A643" s="83"/>
      <c r="B643" s="83"/>
    </row>
    <row r="644">
      <c r="A644" s="83"/>
      <c r="B644" s="83"/>
    </row>
    <row r="645">
      <c r="A645" s="83"/>
      <c r="B645" s="83"/>
    </row>
    <row r="646">
      <c r="A646" s="83"/>
      <c r="B646" s="83"/>
    </row>
    <row r="647">
      <c r="A647" s="83"/>
      <c r="B647" s="83"/>
    </row>
    <row r="648">
      <c r="A648" s="83"/>
      <c r="B648" s="83"/>
    </row>
    <row r="649">
      <c r="A649" s="83"/>
      <c r="B649" s="83"/>
    </row>
    <row r="650">
      <c r="A650" s="83"/>
      <c r="B650" s="83"/>
    </row>
    <row r="651">
      <c r="A651" s="83"/>
      <c r="B651" s="83"/>
    </row>
    <row r="652">
      <c r="A652" s="83"/>
      <c r="B652" s="83"/>
    </row>
    <row r="653">
      <c r="A653" s="83"/>
      <c r="B653" s="83"/>
    </row>
    <row r="654">
      <c r="A654" s="83"/>
      <c r="B654" s="83"/>
    </row>
    <row r="655">
      <c r="A655" s="83"/>
      <c r="B655" s="83"/>
    </row>
    <row r="656">
      <c r="A656" s="83"/>
      <c r="B656" s="83"/>
    </row>
    <row r="657">
      <c r="A657" s="83"/>
      <c r="B657" s="83"/>
    </row>
    <row r="658">
      <c r="A658" s="83"/>
      <c r="B658" s="83"/>
    </row>
    <row r="659">
      <c r="A659" s="83"/>
      <c r="B659" s="83"/>
    </row>
    <row r="660">
      <c r="A660" s="83"/>
      <c r="B660" s="83"/>
    </row>
    <row r="661">
      <c r="A661" s="83"/>
      <c r="B661" s="83"/>
    </row>
    <row r="662">
      <c r="A662" s="83"/>
      <c r="B662" s="83"/>
    </row>
    <row r="663">
      <c r="A663" s="83"/>
      <c r="B663" s="83"/>
    </row>
    <row r="664">
      <c r="A664" s="83"/>
      <c r="B664" s="83"/>
    </row>
    <row r="665">
      <c r="A665" s="83"/>
      <c r="B665" s="83"/>
    </row>
    <row r="666">
      <c r="A666" s="83"/>
      <c r="B666" s="83"/>
    </row>
    <row r="667">
      <c r="A667" s="83"/>
      <c r="B667" s="83"/>
    </row>
    <row r="668">
      <c r="A668" s="83"/>
      <c r="B668" s="83"/>
    </row>
    <row r="669">
      <c r="A669" s="83"/>
      <c r="B669" s="83"/>
    </row>
    <row r="670">
      <c r="A670" s="83"/>
      <c r="B670" s="83"/>
    </row>
    <row r="671">
      <c r="A671" s="83"/>
      <c r="B671" s="83"/>
    </row>
    <row r="672">
      <c r="A672" s="83"/>
      <c r="B672" s="83"/>
    </row>
    <row r="673">
      <c r="A673" s="83"/>
      <c r="B673" s="83"/>
    </row>
    <row r="674">
      <c r="A674" s="83"/>
      <c r="B674" s="83"/>
    </row>
    <row r="675">
      <c r="A675" s="83"/>
      <c r="B675" s="83"/>
    </row>
    <row r="676">
      <c r="A676" s="83"/>
      <c r="B676" s="83"/>
    </row>
    <row r="677">
      <c r="A677" s="83"/>
      <c r="B677" s="83"/>
    </row>
    <row r="678">
      <c r="A678" s="83"/>
      <c r="B678" s="83"/>
    </row>
    <row r="679">
      <c r="A679" s="83"/>
      <c r="B679" s="83"/>
    </row>
    <row r="680">
      <c r="A680" s="83"/>
      <c r="B680" s="83"/>
    </row>
    <row r="681">
      <c r="A681" s="83"/>
      <c r="B681" s="83"/>
    </row>
    <row r="682">
      <c r="A682" s="83"/>
      <c r="B682" s="83"/>
    </row>
    <row r="683">
      <c r="A683" s="83"/>
      <c r="B683" s="83"/>
    </row>
    <row r="684">
      <c r="A684" s="83"/>
      <c r="B684" s="83"/>
    </row>
    <row r="685">
      <c r="A685" s="83"/>
      <c r="B685" s="83"/>
    </row>
    <row r="686">
      <c r="A686" s="83"/>
      <c r="B686" s="83"/>
    </row>
    <row r="687">
      <c r="A687" s="83"/>
      <c r="B687" s="83"/>
    </row>
    <row r="688">
      <c r="A688" s="83"/>
      <c r="B688" s="83"/>
    </row>
    <row r="689">
      <c r="A689" s="83"/>
      <c r="B689" s="83"/>
    </row>
    <row r="690">
      <c r="A690" s="83"/>
      <c r="B690" s="83"/>
    </row>
    <row r="691">
      <c r="A691" s="83"/>
      <c r="B691" s="83"/>
    </row>
    <row r="692">
      <c r="A692" s="83"/>
      <c r="B692" s="83"/>
    </row>
    <row r="693">
      <c r="A693" s="83"/>
      <c r="B693" s="83"/>
    </row>
    <row r="694">
      <c r="A694" s="83"/>
      <c r="B694" s="83"/>
    </row>
    <row r="695">
      <c r="A695" s="83"/>
      <c r="B695" s="83"/>
    </row>
    <row r="696">
      <c r="A696" s="83"/>
      <c r="B696" s="83"/>
    </row>
    <row r="697">
      <c r="A697" s="83"/>
      <c r="B697" s="83"/>
    </row>
    <row r="698">
      <c r="A698" s="83"/>
      <c r="B698" s="83"/>
    </row>
    <row r="699">
      <c r="A699" s="83"/>
      <c r="B699" s="83"/>
    </row>
    <row r="700">
      <c r="A700" s="83"/>
      <c r="B700" s="83"/>
    </row>
    <row r="701">
      <c r="A701" s="83"/>
      <c r="B701" s="83"/>
    </row>
    <row r="702">
      <c r="A702" s="83"/>
      <c r="B702" s="83"/>
    </row>
    <row r="703">
      <c r="A703" s="83"/>
      <c r="B703" s="83"/>
    </row>
    <row r="704">
      <c r="A704" s="83"/>
      <c r="B704" s="83"/>
    </row>
    <row r="705">
      <c r="A705" s="83"/>
      <c r="B705" s="83"/>
    </row>
    <row r="706">
      <c r="A706" s="83"/>
      <c r="B706" s="83"/>
    </row>
    <row r="707">
      <c r="A707" s="83"/>
      <c r="B707" s="83"/>
    </row>
    <row r="708">
      <c r="A708" s="83"/>
      <c r="B708" s="83"/>
    </row>
    <row r="709">
      <c r="A709" s="83"/>
      <c r="B709" s="83"/>
    </row>
    <row r="710">
      <c r="A710" s="83"/>
      <c r="B710" s="83"/>
    </row>
    <row r="711">
      <c r="A711" s="83"/>
      <c r="B711" s="83"/>
    </row>
    <row r="712">
      <c r="A712" s="83"/>
      <c r="B712" s="83"/>
    </row>
    <row r="713">
      <c r="A713" s="83"/>
      <c r="B713" s="83"/>
    </row>
    <row r="714">
      <c r="A714" s="83"/>
      <c r="B714" s="83"/>
    </row>
    <row r="715">
      <c r="A715" s="83"/>
      <c r="B715" s="83"/>
    </row>
    <row r="716">
      <c r="A716" s="83"/>
      <c r="B716" s="83"/>
    </row>
    <row r="717">
      <c r="A717" s="83"/>
      <c r="B717" s="83"/>
    </row>
    <row r="718">
      <c r="A718" s="83"/>
      <c r="B718" s="83"/>
    </row>
    <row r="719">
      <c r="A719" s="83"/>
      <c r="B719" s="83"/>
    </row>
    <row r="720">
      <c r="A720" s="83"/>
      <c r="B720" s="83"/>
    </row>
    <row r="721">
      <c r="A721" s="83"/>
      <c r="B721" s="83"/>
    </row>
    <row r="722">
      <c r="A722" s="83"/>
      <c r="B722" s="83"/>
    </row>
    <row r="723">
      <c r="A723" s="83"/>
      <c r="B723" s="83"/>
    </row>
    <row r="724">
      <c r="A724" s="83"/>
      <c r="B724" s="83"/>
    </row>
    <row r="725">
      <c r="A725" s="83"/>
      <c r="B725" s="83"/>
    </row>
    <row r="726">
      <c r="A726" s="83"/>
      <c r="B726" s="83"/>
    </row>
    <row r="727">
      <c r="A727" s="83"/>
      <c r="B727" s="83"/>
    </row>
    <row r="728">
      <c r="A728" s="83"/>
      <c r="B728" s="83"/>
    </row>
    <row r="729">
      <c r="A729" s="83"/>
      <c r="B729" s="83"/>
    </row>
    <row r="730">
      <c r="A730" s="83"/>
      <c r="B730" s="83"/>
    </row>
    <row r="731">
      <c r="A731" s="83"/>
      <c r="B731" s="83"/>
    </row>
    <row r="732">
      <c r="A732" s="83"/>
      <c r="B732" s="83"/>
    </row>
    <row r="733">
      <c r="A733" s="83"/>
      <c r="B733" s="83"/>
    </row>
    <row r="734">
      <c r="A734" s="83"/>
      <c r="B734" s="83"/>
    </row>
    <row r="735">
      <c r="A735" s="83"/>
      <c r="B735" s="83"/>
    </row>
    <row r="736">
      <c r="A736" s="83"/>
      <c r="B736" s="83"/>
    </row>
    <row r="737">
      <c r="A737" s="83"/>
      <c r="B737" s="83"/>
    </row>
    <row r="738">
      <c r="A738" s="83"/>
      <c r="B738" s="83"/>
    </row>
    <row r="739">
      <c r="A739" s="83"/>
      <c r="B739" s="83"/>
    </row>
    <row r="740">
      <c r="A740" s="83"/>
      <c r="B740" s="83"/>
    </row>
    <row r="741">
      <c r="A741" s="83"/>
      <c r="B741" s="83"/>
    </row>
    <row r="742">
      <c r="A742" s="83"/>
      <c r="B742" s="83"/>
    </row>
    <row r="743">
      <c r="A743" s="83"/>
      <c r="B743" s="83"/>
    </row>
    <row r="744">
      <c r="A744" s="83"/>
      <c r="B744" s="83"/>
    </row>
    <row r="745">
      <c r="A745" s="83"/>
      <c r="B745" s="83"/>
    </row>
    <row r="746">
      <c r="A746" s="83"/>
      <c r="B746" s="83"/>
    </row>
    <row r="747">
      <c r="A747" s="83"/>
      <c r="B747" s="83"/>
    </row>
    <row r="748">
      <c r="A748" s="83"/>
      <c r="B748" s="83"/>
    </row>
    <row r="749">
      <c r="A749" s="83"/>
      <c r="B749" s="83"/>
    </row>
    <row r="750">
      <c r="A750" s="83"/>
      <c r="B750" s="83"/>
    </row>
    <row r="751">
      <c r="A751" s="83"/>
      <c r="B751" s="83"/>
    </row>
    <row r="752">
      <c r="A752" s="83"/>
      <c r="B752" s="83"/>
    </row>
    <row r="753">
      <c r="A753" s="83"/>
      <c r="B753" s="83"/>
    </row>
    <row r="754">
      <c r="A754" s="83"/>
      <c r="B754" s="83"/>
    </row>
    <row r="755">
      <c r="A755" s="83"/>
      <c r="B755" s="83"/>
    </row>
    <row r="756">
      <c r="A756" s="83"/>
      <c r="B756" s="83"/>
    </row>
    <row r="757">
      <c r="A757" s="83"/>
      <c r="B757" s="83"/>
    </row>
    <row r="758">
      <c r="A758" s="83"/>
      <c r="B758" s="83"/>
    </row>
    <row r="759">
      <c r="A759" s="83"/>
      <c r="B759" s="83"/>
    </row>
    <row r="760">
      <c r="A760" s="83"/>
      <c r="B760" s="83"/>
    </row>
    <row r="761">
      <c r="A761" s="83"/>
      <c r="B761" s="83"/>
    </row>
    <row r="762">
      <c r="A762" s="83"/>
      <c r="B762" s="83"/>
    </row>
    <row r="763">
      <c r="A763" s="83"/>
      <c r="B763" s="83"/>
    </row>
    <row r="764">
      <c r="A764" s="83"/>
      <c r="B764" s="83"/>
    </row>
    <row r="765">
      <c r="A765" s="83"/>
      <c r="B765" s="83"/>
    </row>
    <row r="766">
      <c r="A766" s="83"/>
      <c r="B766" s="83"/>
    </row>
    <row r="767">
      <c r="A767" s="83"/>
      <c r="B767" s="83"/>
    </row>
    <row r="768">
      <c r="A768" s="83"/>
      <c r="B768" s="83"/>
    </row>
    <row r="769">
      <c r="A769" s="83"/>
      <c r="B769" s="83"/>
    </row>
    <row r="770">
      <c r="A770" s="83"/>
      <c r="B770" s="83"/>
    </row>
    <row r="771">
      <c r="A771" s="83"/>
      <c r="B771" s="83"/>
    </row>
    <row r="772">
      <c r="A772" s="83"/>
      <c r="B772" s="83"/>
    </row>
    <row r="773">
      <c r="A773" s="83"/>
      <c r="B773" s="83"/>
    </row>
    <row r="774">
      <c r="A774" s="83"/>
      <c r="B774" s="83"/>
    </row>
    <row r="775">
      <c r="A775" s="83"/>
      <c r="B775" s="83"/>
    </row>
    <row r="776">
      <c r="A776" s="83"/>
      <c r="B776" s="83"/>
    </row>
    <row r="777">
      <c r="A777" s="83"/>
      <c r="B777" s="83"/>
    </row>
    <row r="778">
      <c r="A778" s="83"/>
      <c r="B778" s="83"/>
    </row>
    <row r="779">
      <c r="A779" s="83"/>
      <c r="B779" s="83"/>
    </row>
    <row r="780">
      <c r="A780" s="83"/>
      <c r="B780" s="83"/>
    </row>
    <row r="781">
      <c r="A781" s="83"/>
      <c r="B781" s="83"/>
    </row>
    <row r="782">
      <c r="A782" s="83"/>
      <c r="B782" s="83"/>
    </row>
    <row r="783">
      <c r="A783" s="83"/>
      <c r="B783" s="83"/>
    </row>
    <row r="784">
      <c r="A784" s="83"/>
      <c r="B784" s="83"/>
    </row>
    <row r="785">
      <c r="A785" s="83"/>
      <c r="B785" s="83"/>
    </row>
    <row r="786">
      <c r="A786" s="83"/>
      <c r="B786" s="83"/>
    </row>
    <row r="787">
      <c r="A787" s="83"/>
      <c r="B787" s="83"/>
    </row>
    <row r="788">
      <c r="A788" s="83"/>
      <c r="B788" s="83"/>
    </row>
    <row r="789">
      <c r="A789" s="83"/>
      <c r="B789" s="83"/>
    </row>
    <row r="790">
      <c r="A790" s="83"/>
      <c r="B790" s="83"/>
    </row>
    <row r="791">
      <c r="A791" s="83"/>
      <c r="B791" s="83"/>
    </row>
    <row r="792">
      <c r="A792" s="83"/>
      <c r="B792" s="83"/>
    </row>
    <row r="793">
      <c r="A793" s="83"/>
      <c r="B793" s="83"/>
    </row>
    <row r="794">
      <c r="A794" s="83"/>
      <c r="B794" s="83"/>
    </row>
    <row r="795">
      <c r="A795" s="83"/>
      <c r="B795" s="83"/>
    </row>
    <row r="796">
      <c r="A796" s="83"/>
      <c r="B796" s="83"/>
    </row>
    <row r="797">
      <c r="A797" s="83"/>
      <c r="B797" s="83"/>
    </row>
    <row r="798">
      <c r="A798" s="83"/>
      <c r="B798" s="83"/>
    </row>
    <row r="799">
      <c r="A799" s="83"/>
      <c r="B799" s="83"/>
    </row>
    <row r="800">
      <c r="A800" s="83"/>
      <c r="B800" s="83"/>
    </row>
    <row r="801">
      <c r="A801" s="83"/>
      <c r="B801" s="83"/>
    </row>
    <row r="802">
      <c r="A802" s="83"/>
      <c r="B802" s="83"/>
    </row>
    <row r="803">
      <c r="A803" s="83"/>
      <c r="B803" s="83"/>
    </row>
    <row r="804">
      <c r="A804" s="83"/>
      <c r="B804" s="83"/>
    </row>
    <row r="805">
      <c r="A805" s="83"/>
      <c r="B805" s="83"/>
    </row>
    <row r="806">
      <c r="A806" s="83"/>
      <c r="B806" s="83"/>
    </row>
    <row r="807">
      <c r="A807" s="83"/>
      <c r="B807" s="83"/>
    </row>
    <row r="808">
      <c r="A808" s="83"/>
      <c r="B808" s="83"/>
    </row>
    <row r="809">
      <c r="A809" s="83"/>
      <c r="B809" s="83"/>
    </row>
    <row r="810">
      <c r="A810" s="83"/>
      <c r="B810" s="83"/>
    </row>
    <row r="811">
      <c r="A811" s="83"/>
      <c r="B811" s="83"/>
    </row>
    <row r="812">
      <c r="A812" s="83"/>
      <c r="B812" s="83"/>
    </row>
    <row r="813">
      <c r="A813" s="83"/>
      <c r="B813" s="83"/>
    </row>
    <row r="814">
      <c r="A814" s="83"/>
      <c r="B814" s="83"/>
    </row>
    <row r="815">
      <c r="A815" s="83"/>
      <c r="B815" s="83"/>
    </row>
    <row r="816">
      <c r="A816" s="83"/>
      <c r="B816" s="83"/>
    </row>
    <row r="817">
      <c r="A817" s="83"/>
      <c r="B817" s="83"/>
    </row>
    <row r="818">
      <c r="A818" s="83"/>
      <c r="B818" s="83"/>
    </row>
    <row r="819">
      <c r="A819" s="83"/>
      <c r="B819" s="83"/>
    </row>
    <row r="820">
      <c r="A820" s="83"/>
      <c r="B820" s="83"/>
    </row>
    <row r="821">
      <c r="A821" s="83"/>
      <c r="B821" s="83"/>
    </row>
    <row r="822">
      <c r="A822" s="83"/>
      <c r="B822" s="83"/>
    </row>
    <row r="823">
      <c r="A823" s="83"/>
      <c r="B823" s="83"/>
    </row>
    <row r="824">
      <c r="A824" s="83"/>
      <c r="B824" s="83"/>
    </row>
    <row r="825">
      <c r="A825" s="83"/>
      <c r="B825" s="83"/>
    </row>
    <row r="826">
      <c r="A826" s="83"/>
      <c r="B826" s="83"/>
    </row>
    <row r="827">
      <c r="A827" s="83"/>
      <c r="B827" s="83"/>
    </row>
    <row r="828">
      <c r="A828" s="83"/>
      <c r="B828" s="83"/>
    </row>
    <row r="829">
      <c r="A829" s="83"/>
      <c r="B829" s="83"/>
    </row>
    <row r="830">
      <c r="A830" s="83"/>
      <c r="B830" s="83"/>
    </row>
    <row r="831">
      <c r="A831" s="83"/>
      <c r="B831" s="83"/>
    </row>
    <row r="832">
      <c r="A832" s="83"/>
      <c r="B832" s="83"/>
    </row>
    <row r="833">
      <c r="A833" s="83"/>
      <c r="B833" s="83"/>
    </row>
    <row r="834">
      <c r="A834" s="83"/>
      <c r="B834" s="83"/>
    </row>
    <row r="835">
      <c r="A835" s="83"/>
      <c r="B835" s="83"/>
    </row>
    <row r="836">
      <c r="A836" s="83"/>
      <c r="B836" s="83"/>
    </row>
    <row r="837">
      <c r="A837" s="83"/>
      <c r="B837" s="83"/>
    </row>
    <row r="838">
      <c r="A838" s="83"/>
      <c r="B838" s="83"/>
    </row>
    <row r="839">
      <c r="A839" s="83"/>
      <c r="B839" s="83"/>
    </row>
    <row r="840">
      <c r="A840" s="83"/>
      <c r="B840" s="83"/>
    </row>
    <row r="841">
      <c r="A841" s="83"/>
      <c r="B841" s="83"/>
    </row>
    <row r="842">
      <c r="A842" s="83"/>
      <c r="B842" s="83"/>
    </row>
    <row r="843">
      <c r="A843" s="83"/>
      <c r="B843" s="83"/>
    </row>
    <row r="844">
      <c r="A844" s="83"/>
      <c r="B844" s="83"/>
    </row>
    <row r="845">
      <c r="A845" s="83"/>
      <c r="B845" s="83"/>
    </row>
    <row r="846">
      <c r="A846" s="83"/>
      <c r="B846" s="83"/>
    </row>
    <row r="847">
      <c r="A847" s="83"/>
      <c r="B847" s="83"/>
    </row>
    <row r="848">
      <c r="A848" s="83"/>
      <c r="B848" s="83"/>
    </row>
    <row r="849">
      <c r="A849" s="83"/>
      <c r="B849" s="83"/>
    </row>
    <row r="850">
      <c r="A850" s="83"/>
      <c r="B850" s="83"/>
    </row>
    <row r="851">
      <c r="A851" s="83"/>
      <c r="B851" s="83"/>
    </row>
    <row r="852">
      <c r="A852" s="83"/>
      <c r="B852" s="83"/>
    </row>
    <row r="853">
      <c r="A853" s="83"/>
      <c r="B853" s="83"/>
    </row>
    <row r="854">
      <c r="A854" s="83"/>
      <c r="B854" s="83"/>
    </row>
    <row r="855">
      <c r="A855" s="83"/>
      <c r="B855" s="83"/>
    </row>
    <row r="856">
      <c r="A856" s="83"/>
      <c r="B856" s="83"/>
    </row>
    <row r="857">
      <c r="A857" s="83"/>
      <c r="B857" s="83"/>
    </row>
    <row r="858">
      <c r="A858" s="83"/>
      <c r="B858" s="83"/>
    </row>
    <row r="859">
      <c r="A859" s="83"/>
      <c r="B859" s="83"/>
    </row>
    <row r="860">
      <c r="A860" s="83"/>
      <c r="B860" s="83"/>
    </row>
    <row r="861">
      <c r="A861" s="83"/>
      <c r="B861" s="83"/>
    </row>
    <row r="862">
      <c r="A862" s="83"/>
      <c r="B862" s="83"/>
    </row>
    <row r="863">
      <c r="A863" s="83"/>
      <c r="B863" s="83"/>
    </row>
    <row r="864">
      <c r="A864" s="83"/>
      <c r="B864" s="83"/>
    </row>
    <row r="865">
      <c r="A865" s="83"/>
      <c r="B865" s="83"/>
    </row>
    <row r="866">
      <c r="A866" s="83"/>
      <c r="B866" s="83"/>
    </row>
    <row r="867">
      <c r="A867" s="83"/>
      <c r="B867" s="83"/>
    </row>
    <row r="868">
      <c r="A868" s="83"/>
      <c r="B868" s="83"/>
    </row>
    <row r="869">
      <c r="A869" s="83"/>
      <c r="B869" s="83"/>
    </row>
    <row r="870">
      <c r="A870" s="83"/>
      <c r="B870" s="83"/>
    </row>
    <row r="871">
      <c r="A871" s="83"/>
      <c r="B871" s="83"/>
    </row>
    <row r="872">
      <c r="A872" s="83"/>
      <c r="B872" s="83"/>
    </row>
    <row r="873">
      <c r="A873" s="83"/>
      <c r="B873" s="83"/>
    </row>
    <row r="874">
      <c r="A874" s="83"/>
      <c r="B874" s="83"/>
    </row>
    <row r="875">
      <c r="A875" s="83"/>
      <c r="B875" s="83"/>
    </row>
    <row r="876">
      <c r="A876" s="83"/>
      <c r="B876" s="83"/>
    </row>
    <row r="877">
      <c r="A877" s="83"/>
      <c r="B877" s="83"/>
    </row>
    <row r="878">
      <c r="A878" s="83"/>
      <c r="B878" s="83"/>
    </row>
    <row r="879">
      <c r="A879" s="83"/>
      <c r="B879" s="83"/>
    </row>
    <row r="880">
      <c r="A880" s="83"/>
      <c r="B880" s="83"/>
    </row>
    <row r="881">
      <c r="A881" s="83"/>
      <c r="B881" s="83"/>
    </row>
    <row r="882">
      <c r="A882" s="83"/>
      <c r="B882" s="83"/>
    </row>
    <row r="883">
      <c r="A883" s="83"/>
      <c r="B883" s="83"/>
    </row>
    <row r="884">
      <c r="A884" s="83"/>
      <c r="B884" s="83"/>
    </row>
    <row r="885">
      <c r="A885" s="83"/>
      <c r="B885" s="83"/>
    </row>
    <row r="886">
      <c r="A886" s="83"/>
      <c r="B886" s="83"/>
    </row>
    <row r="887">
      <c r="A887" s="83"/>
      <c r="B887" s="83"/>
    </row>
    <row r="888">
      <c r="A888" s="83"/>
      <c r="B888" s="83"/>
    </row>
    <row r="889">
      <c r="A889" s="83"/>
      <c r="B889" s="83"/>
    </row>
    <row r="890">
      <c r="A890" s="83"/>
      <c r="B890" s="83"/>
    </row>
    <row r="891">
      <c r="A891" s="83"/>
      <c r="B891" s="83"/>
    </row>
    <row r="892">
      <c r="A892" s="83"/>
      <c r="B892" s="83"/>
    </row>
    <row r="893">
      <c r="A893" s="83"/>
      <c r="B893" s="83"/>
    </row>
    <row r="894">
      <c r="A894" s="83"/>
      <c r="B894" s="83"/>
    </row>
    <row r="895">
      <c r="A895" s="83"/>
      <c r="B895" s="83"/>
    </row>
    <row r="896">
      <c r="A896" s="83"/>
      <c r="B896" s="83"/>
    </row>
    <row r="897">
      <c r="A897" s="83"/>
      <c r="B897" s="83"/>
    </row>
    <row r="898">
      <c r="A898" s="83"/>
      <c r="B898" s="83"/>
    </row>
    <row r="899">
      <c r="A899" s="83"/>
      <c r="B899" s="83"/>
    </row>
    <row r="900">
      <c r="A900" s="83"/>
      <c r="B900" s="83"/>
    </row>
    <row r="901">
      <c r="A901" s="83"/>
      <c r="B901" s="83"/>
    </row>
    <row r="902">
      <c r="A902" s="83"/>
      <c r="B902" s="83"/>
    </row>
    <row r="903">
      <c r="A903" s="83"/>
      <c r="B903" s="83"/>
    </row>
    <row r="904">
      <c r="A904" s="83"/>
      <c r="B904" s="83"/>
    </row>
    <row r="905">
      <c r="A905" s="83"/>
      <c r="B905" s="83"/>
    </row>
    <row r="906">
      <c r="A906" s="83"/>
      <c r="B906" s="83"/>
    </row>
    <row r="907">
      <c r="A907" s="83"/>
      <c r="B907" s="83"/>
    </row>
    <row r="908">
      <c r="A908" s="83"/>
      <c r="B908" s="83"/>
    </row>
    <row r="909">
      <c r="A909" s="83"/>
      <c r="B909" s="83"/>
    </row>
    <row r="910">
      <c r="A910" s="83"/>
      <c r="B910" s="83"/>
    </row>
    <row r="911">
      <c r="A911" s="83"/>
      <c r="B911" s="83"/>
    </row>
    <row r="912">
      <c r="A912" s="83"/>
      <c r="B912" s="83"/>
    </row>
    <row r="913">
      <c r="A913" s="83"/>
      <c r="B913" s="83"/>
    </row>
    <row r="914">
      <c r="A914" s="83"/>
      <c r="B914" s="83"/>
    </row>
    <row r="915">
      <c r="A915" s="83"/>
      <c r="B915" s="83"/>
    </row>
    <row r="916">
      <c r="A916" s="83"/>
      <c r="B916" s="83"/>
    </row>
    <row r="917">
      <c r="A917" s="83"/>
      <c r="B917" s="83"/>
    </row>
    <row r="918">
      <c r="A918" s="83"/>
      <c r="B918" s="83"/>
    </row>
    <row r="919">
      <c r="A919" s="83"/>
      <c r="B919" s="83"/>
    </row>
    <row r="920">
      <c r="A920" s="83"/>
      <c r="B920" s="83"/>
    </row>
    <row r="921">
      <c r="A921" s="83"/>
      <c r="B921" s="83"/>
    </row>
    <row r="922">
      <c r="A922" s="83"/>
      <c r="B922" s="83"/>
    </row>
    <row r="923">
      <c r="A923" s="83"/>
      <c r="B923" s="83"/>
    </row>
    <row r="924">
      <c r="A924" s="83"/>
      <c r="B924" s="83"/>
    </row>
    <row r="925">
      <c r="A925" s="83"/>
      <c r="B925" s="83"/>
    </row>
    <row r="926">
      <c r="A926" s="83"/>
      <c r="B926" s="83"/>
    </row>
    <row r="927">
      <c r="A927" s="83"/>
      <c r="B927" s="83"/>
    </row>
    <row r="928">
      <c r="A928" s="83"/>
      <c r="B928" s="83"/>
    </row>
    <row r="929">
      <c r="A929" s="83"/>
      <c r="B929" s="83"/>
    </row>
    <row r="930">
      <c r="A930" s="83"/>
      <c r="B930" s="83"/>
    </row>
    <row r="931">
      <c r="A931" s="83"/>
      <c r="B931" s="83"/>
    </row>
    <row r="932">
      <c r="A932" s="83"/>
      <c r="B932" s="83"/>
    </row>
    <row r="933">
      <c r="A933" s="83"/>
      <c r="B933" s="83"/>
    </row>
    <row r="934">
      <c r="A934" s="83"/>
      <c r="B934" s="83"/>
    </row>
    <row r="935">
      <c r="A935" s="83"/>
      <c r="B935" s="83"/>
    </row>
    <row r="936">
      <c r="A936" s="83"/>
      <c r="B936" s="83"/>
    </row>
    <row r="937">
      <c r="A937" s="83"/>
      <c r="B937" s="83"/>
    </row>
    <row r="938">
      <c r="A938" s="83"/>
      <c r="B938" s="83"/>
    </row>
    <row r="939">
      <c r="A939" s="83"/>
      <c r="B939" s="83"/>
    </row>
    <row r="940">
      <c r="A940" s="83"/>
      <c r="B940" s="83"/>
    </row>
    <row r="941">
      <c r="A941" s="83"/>
      <c r="B941" s="83"/>
    </row>
    <row r="942">
      <c r="A942" s="83"/>
      <c r="B942" s="83"/>
    </row>
    <row r="943">
      <c r="A943" s="83"/>
      <c r="B943" s="83"/>
    </row>
    <row r="944">
      <c r="A944" s="83"/>
      <c r="B944" s="83"/>
    </row>
    <row r="945">
      <c r="A945" s="83"/>
      <c r="B945" s="83"/>
    </row>
    <row r="946">
      <c r="A946" s="83"/>
      <c r="B946" s="83"/>
    </row>
    <row r="947">
      <c r="A947" s="83"/>
      <c r="B947" s="83"/>
    </row>
    <row r="948">
      <c r="A948" s="83"/>
      <c r="B948" s="83"/>
    </row>
    <row r="949">
      <c r="A949" s="83"/>
      <c r="B949" s="83"/>
    </row>
    <row r="950">
      <c r="A950" s="83"/>
      <c r="B950" s="83"/>
    </row>
    <row r="951">
      <c r="A951" s="83"/>
      <c r="B951" s="83"/>
    </row>
    <row r="952">
      <c r="A952" s="83"/>
      <c r="B952" s="83"/>
    </row>
    <row r="953">
      <c r="A953" s="83"/>
      <c r="B953" s="83"/>
    </row>
    <row r="954">
      <c r="A954" s="83"/>
      <c r="B954" s="83"/>
    </row>
    <row r="955">
      <c r="A955" s="83"/>
      <c r="B955" s="83"/>
    </row>
    <row r="956">
      <c r="A956" s="83"/>
      <c r="B956" s="83"/>
    </row>
    <row r="957">
      <c r="A957" s="83"/>
      <c r="B957" s="83"/>
    </row>
    <row r="958">
      <c r="A958" s="83"/>
      <c r="B958" s="83"/>
    </row>
    <row r="959">
      <c r="A959" s="83"/>
      <c r="B959" s="83"/>
    </row>
    <row r="960">
      <c r="A960" s="83"/>
      <c r="B960" s="83"/>
    </row>
    <row r="961">
      <c r="A961" s="83"/>
      <c r="B961" s="83"/>
    </row>
    <row r="962">
      <c r="A962" s="83"/>
      <c r="B962" s="83"/>
    </row>
    <row r="963">
      <c r="A963" s="83"/>
      <c r="B963" s="83"/>
    </row>
    <row r="964">
      <c r="A964" s="83"/>
      <c r="B964" s="83"/>
    </row>
    <row r="965">
      <c r="A965" s="83"/>
      <c r="B965" s="83"/>
    </row>
    <row r="966">
      <c r="A966" s="83"/>
      <c r="B966" s="83"/>
    </row>
    <row r="967">
      <c r="A967" s="83"/>
      <c r="B967" s="83"/>
    </row>
    <row r="968">
      <c r="A968" s="83"/>
      <c r="B968" s="83"/>
    </row>
    <row r="969">
      <c r="A969" s="83"/>
      <c r="B969" s="83"/>
    </row>
    <row r="970">
      <c r="A970" s="83"/>
      <c r="B970" s="83"/>
    </row>
    <row r="971">
      <c r="A971" s="83"/>
      <c r="B971" s="83"/>
    </row>
    <row r="972">
      <c r="A972" s="83"/>
      <c r="B972" s="83"/>
    </row>
    <row r="973">
      <c r="A973" s="83"/>
      <c r="B973" s="83"/>
    </row>
    <row r="974">
      <c r="A974" s="83"/>
      <c r="B974" s="83"/>
    </row>
    <row r="975">
      <c r="A975" s="83"/>
      <c r="B975" s="83"/>
    </row>
    <row r="976">
      <c r="A976" s="83"/>
      <c r="B976" s="83"/>
    </row>
    <row r="977">
      <c r="A977" s="83"/>
      <c r="B977" s="83"/>
    </row>
    <row r="978">
      <c r="A978" s="83"/>
      <c r="B978" s="83"/>
    </row>
    <row r="979">
      <c r="A979" s="83"/>
      <c r="B979" s="83"/>
    </row>
    <row r="980">
      <c r="A980" s="83"/>
      <c r="B980" s="83"/>
    </row>
    <row r="981">
      <c r="A981" s="83"/>
      <c r="B981" s="83"/>
    </row>
    <row r="982">
      <c r="A982" s="83"/>
      <c r="B982" s="83"/>
    </row>
    <row r="983">
      <c r="A983" s="83"/>
      <c r="B983" s="83"/>
    </row>
    <row r="984">
      <c r="A984" s="83"/>
      <c r="B984" s="83"/>
    </row>
    <row r="985">
      <c r="A985" s="83"/>
      <c r="B985" s="83"/>
    </row>
    <row r="986">
      <c r="A986" s="83"/>
      <c r="B986" s="83"/>
    </row>
    <row r="987">
      <c r="A987" s="83"/>
      <c r="B987" s="83"/>
    </row>
    <row r="988">
      <c r="A988" s="83"/>
      <c r="B988" s="83"/>
    </row>
    <row r="989">
      <c r="A989" s="83"/>
      <c r="B989" s="83"/>
    </row>
    <row r="990">
      <c r="A990" s="83"/>
      <c r="B990" s="83"/>
    </row>
    <row r="991">
      <c r="A991" s="83"/>
      <c r="B991" s="83"/>
    </row>
    <row r="992">
      <c r="A992" s="83"/>
      <c r="B992" s="83"/>
    </row>
    <row r="993">
      <c r="A993" s="83"/>
      <c r="B993" s="83"/>
    </row>
    <row r="994">
      <c r="A994" s="83"/>
      <c r="B994" s="83"/>
    </row>
    <row r="995">
      <c r="A995" s="83"/>
      <c r="B995" s="83"/>
    </row>
    <row r="996">
      <c r="A996" s="83"/>
      <c r="B996" s="83"/>
    </row>
    <row r="997">
      <c r="A997" s="83"/>
      <c r="B997" s="83"/>
    </row>
    <row r="998">
      <c r="A998" s="83"/>
      <c r="B998" s="83"/>
    </row>
    <row r="999">
      <c r="A999" s="83"/>
      <c r="B999" s="8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0.13"/>
  </cols>
  <sheetData>
    <row r="1">
      <c r="A1" s="87" t="s">
        <v>692</v>
      </c>
      <c r="B1" s="88" t="s">
        <v>693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90">
        <v>45588.0</v>
      </c>
      <c r="B2" s="91">
        <f>'Acompanhamento Compostagem Alvo'!E2+'Acompanhamento Compostagem Alvo'!E3+'Acompanhamento Compostagem Alvo'!E4+'Acompanhamento Compostagem Alvo'!E5+'Acompanhamento Compostagem Alvo'!E6</f>
        <v>312.235</v>
      </c>
    </row>
    <row r="3">
      <c r="A3" s="90">
        <v>45619.0</v>
      </c>
      <c r="B3" s="91">
        <f>'Acompanhamento Compostagem Alvo'!E7+'Acompanhamento Compostagem Alvo'!E8+'Acompanhamento Compostagem Alvo'!E9+'Acompanhamento Compostagem Alvo'!E10+'Acompanhamento Compostagem Alvo'!E12+'Acompanhamento Compostagem Alvo'!E13</f>
        <v>701.41</v>
      </c>
    </row>
    <row r="4">
      <c r="A4" s="90">
        <v>45649.0</v>
      </c>
      <c r="B4" s="91">
        <f>'Acompanhamento Compostagem Alvo'!E14+'Acompanhamento Compostagem Alvo'!E15+'Acompanhamento Compostagem Alvo'!E16+'Acompanhamento Compostagem Alvo'!E17+'Acompanhamento Compostagem Alvo'!E18+'Acompanhamento Compostagem Alvo'!E19+'Acompanhamento Compostagem Alvo'!E20+'Acompanhamento Compostagem Alvo'!E21</f>
        <v>1396.73</v>
      </c>
    </row>
    <row r="5">
      <c r="A5" s="90">
        <v>45315.0</v>
      </c>
      <c r="B5" s="91">
        <f>'Acompanhamento Compostagem Alvo'!E22+'Acompanhamento Compostagem Alvo'!E23+'Acompanhamento Compostagem Alvo'!E24+'Acompanhamento Compostagem Alvo'!E25+'Acompanhamento Compostagem Alvo'!E26+'Acompanhamento Compostagem Alvo'!E27+'Acompanhamento Compostagem Alvo'!E28+'Acompanhamento Compostagem Alvo'!E29+'Acompanhamento Compostagem Alvo'!E30</f>
        <v>1062.75</v>
      </c>
    </row>
    <row r="6">
      <c r="A6" s="90">
        <v>45346.0</v>
      </c>
      <c r="B6" s="91">
        <f>'Acompanhamento Compostagem Alvo'!E31+'Acompanhamento Compostagem Alvo'!E32+'Acompanhamento Compostagem Alvo'!E33+'Acompanhamento Compostagem Alvo'!E34+'Acompanhamento Compostagem Alvo'!E35+'Acompanhamento Compostagem Alvo'!E36+'Acompanhamento Compostagem Alvo'!E37+'Acompanhamento Compostagem Alvo'!E38+'Acompanhamento Compostagem Alvo'!E39+'Acompanhamento Compostagem Alvo'!E41+'Acompanhamento Compostagem Alvo'!E40+'Acompanhamento Compostagem Alvo'!E42+'Acompanhamento Compostagem Alvo'!E43+'Acompanhamento Compostagem Alvo'!E44</f>
        <v>1738.05</v>
      </c>
    </row>
    <row r="7">
      <c r="A7" s="90">
        <v>45375.0</v>
      </c>
      <c r="B7" s="91">
        <f>'Acompanhamento Compostagem Alvo'!E45+'Acompanhamento Compostagem Alvo'!E46+'Acompanhamento Compostagem Alvo'!E47+'Acompanhamento Compostagem Alvo'!E48+'Acompanhamento Compostagem Alvo'!E49+'Acompanhamento Compostagem Alvo'!E50+'Acompanhamento Compostagem Alvo'!E51+'Acompanhamento Compostagem Alvo'!E52+'Acompanhamento Compostagem Alvo'!E53+'Acompanhamento Compostagem Alvo'!E54+'Acompanhamento Compostagem Alvo'!E55+'Acompanhamento Compostagem Alvo'!E56+'Acompanhamento Compostagem Alvo'!E57+'Acompanhamento Compostagem Alvo'!E58+'Acompanhamento Compostagem Alvo'!E59+'Acompanhamento Compostagem Alvo'!E60+'Acompanhamento Compostagem Alvo'!E61+'Acompanhamento Compostagem Alvo'!E62+'Acompanhamento Compostagem Alvo'!E63+'Peso x tempo'!C45+'Peso x tempo'!C46+'Peso x tempo'!C47+'Peso x tempo'!C48+'Peso x tempo'!C49+'Peso x tempo'!C50</f>
        <v>3925.16</v>
      </c>
    </row>
    <row r="8">
      <c r="A8" s="90">
        <v>45406.0</v>
      </c>
      <c r="B8" s="92">
        <f>'Peso x tempo'!C51+'Peso x tempo'!C52+'Peso x tempo'!C53+'Peso x tempo'!C54+'Peso x tempo'!C55+'Acompanhamento Compostagem Alvo'!E99+'Acompanhamento Compostagem Alvo'!E100+'Acompanhamento Compostagem Alvo'!E101+'Acompanhamento Compostagem Alvo'!E102+'Acompanhamento Compostagem Alvo'!E103+'Acompanhamento Compostagem Alvo'!E104+'Acompanhamento Compostagem Alvo'!E105+'Peso x tempo'!C58+'Peso x tempo'!C59+'Peso x tempo'!C60+'Peso x tempo'!C61+'Peso x tempo'!C62+'Peso x tempo'!C63</f>
        <v>6411.24</v>
      </c>
    </row>
    <row r="9">
      <c r="A9" s="90">
        <v>45436.0</v>
      </c>
      <c r="B9" s="92">
        <f>'Peso x tempo'!C64+'Peso x tempo'!C65+'Peso x tempo'!C66+'Peso x tempo'!C67+'Peso x tempo'!C68+'Peso x tempo'!C69+'Peso x tempo'!C70+'Peso x tempo'!C71+'Peso x tempo'!C72+'Peso x tempo'!C73+'Peso x tempo'!C74+'Peso x tempo'!C75+'Peso x tempo'!C76+'Peso x tempo'!C77</f>
        <v>5915.78</v>
      </c>
    </row>
    <row r="10">
      <c r="A10" s="90">
        <v>45467.0</v>
      </c>
      <c r="B10" s="92">
        <f>'Peso x tempo'!C78+'Peso x tempo'!C79+'Peso x tempo'!C80+'Peso x tempo'!C81+'Peso x tempo'!C82+'Peso x tempo'!C83+'Peso x tempo'!C84+'Peso x tempo'!C85+'Peso x tempo'!C86+'Peso x tempo'!C87+'Peso x tempo'!C88+'Peso x tempo'!C89+'Peso x tempo'!C90+'Peso x tempo'!C91+'Peso x tempo'!C92</f>
        <v>4876.95</v>
      </c>
    </row>
    <row r="11">
      <c r="A11" s="90">
        <v>45497.0</v>
      </c>
      <c r="B11" s="92">
        <f>'Peso x tempo'!C93+'Peso x tempo'!C94+'Peso x tempo'!C95+'Peso x tempo'!C96+'Peso x tempo'!C97+'Peso x tempo'!C98+'Peso x tempo'!C99+'Peso x tempo'!C100+'Peso x tempo'!C101+'Peso x tempo'!C102+'Peso x tempo'!C103+'Peso x tempo'!C104+'Peso x tempo'!C105</f>
        <v>4347.52</v>
      </c>
    </row>
    <row r="12">
      <c r="A12" s="90">
        <v>45528.0</v>
      </c>
      <c r="B12" s="91">
        <f>sum('Peso x tempo'!C106:C118)</f>
        <v>4560.04</v>
      </c>
    </row>
    <row r="13">
      <c r="A13" s="90">
        <v>45559.0</v>
      </c>
      <c r="B13" s="91">
        <f>sum('Peso x tempo'!C119:C127)</f>
        <v>4363.19</v>
      </c>
    </row>
    <row r="14">
      <c r="A14" s="90">
        <v>45589.0</v>
      </c>
      <c r="B14" s="91">
        <f>SUM('Peso x tempo'!C128:C140)</f>
        <v>4817.49</v>
      </c>
    </row>
    <row r="15">
      <c r="A15" s="90">
        <v>45620.0</v>
      </c>
      <c r="B15" s="91">
        <f>SUM('Peso x tempo'!C141:C149)</f>
        <v>4075.03</v>
      </c>
    </row>
    <row r="16">
      <c r="A16" s="90">
        <v>45650.0</v>
      </c>
      <c r="B16" s="91">
        <f>SUM('Peso x tempo'!C150:C160)</f>
        <v>4686.23</v>
      </c>
    </row>
    <row r="17">
      <c r="A17" s="90">
        <v>45316.0</v>
      </c>
      <c r="B17" s="91">
        <f>SUM('Peso x tempo'!C161:C173)</f>
        <v>4178.16</v>
      </c>
    </row>
    <row r="18">
      <c r="A18" s="90">
        <v>45347.0</v>
      </c>
      <c r="B18" s="91">
        <f>SUM('Peso x tempo'!C174:C180)</f>
        <v>2755.7</v>
      </c>
    </row>
    <row r="19">
      <c r="A19" s="90">
        <v>45376.0</v>
      </c>
      <c r="B19" s="91">
        <f>SUM('Peso x tempo'!C181:C184)</f>
        <v>1865.19</v>
      </c>
    </row>
    <row r="20">
      <c r="A20" s="90">
        <v>45407.0</v>
      </c>
      <c r="B20" s="91">
        <f>SUM('Peso x tempo'!C185:C190)</f>
        <v>1902.25</v>
      </c>
    </row>
    <row r="21">
      <c r="A21" s="90">
        <v>45437.0</v>
      </c>
      <c r="B21" s="91">
        <f>SUM('Peso x tempo'!C189:C196)</f>
        <v>2648.02</v>
      </c>
      <c r="F21" s="94"/>
    </row>
    <row r="22">
      <c r="A22" s="90">
        <v>45468.0</v>
      </c>
      <c r="B22" s="91">
        <f>SUM('Peso x tempo'!C197:C203)</f>
        <v>2661.16</v>
      </c>
      <c r="F22" s="94"/>
    </row>
    <row r="23">
      <c r="A23" s="90">
        <v>45498.0</v>
      </c>
      <c r="B23" s="91">
        <f>SUM('Peso x tempo'!C204:C210)</f>
        <v>3003.88</v>
      </c>
      <c r="F23" s="94"/>
    </row>
    <row r="24">
      <c r="A24" s="90">
        <v>45529.0</v>
      </c>
      <c r="B24" s="91">
        <f>SUM('Peso x tempo'!C211:C218)</f>
        <v>3315.87</v>
      </c>
      <c r="F24" s="94"/>
    </row>
    <row r="25">
      <c r="A25" s="90">
        <v>45560.0</v>
      </c>
      <c r="B25" s="91">
        <f>SUM('Peso x tempo'!C228:C232)</f>
        <v>2950.72</v>
      </c>
      <c r="F25" s="95"/>
    </row>
    <row r="26">
      <c r="A26" s="90">
        <v>45590.0</v>
      </c>
      <c r="B26" s="91">
        <f>SUM('Peso x tempo'!C228:C233)</f>
        <v>3191.58</v>
      </c>
      <c r="F26" s="96"/>
    </row>
    <row r="27">
      <c r="A27" s="90">
        <v>45621.0</v>
      </c>
      <c r="B27" s="91">
        <f>SUM('Peso x tempo'!C234:C238)</f>
        <v>3140.41</v>
      </c>
      <c r="F27" s="95"/>
    </row>
    <row r="28">
      <c r="A28" s="90">
        <v>45651.0</v>
      </c>
      <c r="B28" s="91">
        <f>SUM('Peso x tempo'!C239:C245)</f>
        <v>3408.77</v>
      </c>
    </row>
    <row r="29">
      <c r="A29" s="90">
        <v>46048.0</v>
      </c>
      <c r="B29" s="91">
        <f>SUM('Peso x tempo'!C259:C276)</f>
        <v>4115.17</v>
      </c>
    </row>
    <row r="30">
      <c r="A30" s="90">
        <v>46079.0</v>
      </c>
      <c r="B30" s="91">
        <f>SUM('Peso x tempo'!C260:C277)</f>
        <v>4190.76</v>
      </c>
    </row>
    <row r="31">
      <c r="A31" s="90">
        <v>46107.0</v>
      </c>
      <c r="B31" s="91">
        <f>SUM('Peso x tempo'!C277:C297)</f>
        <v>4440.1</v>
      </c>
    </row>
    <row r="32">
      <c r="A32" s="90">
        <v>46138.0</v>
      </c>
      <c r="B32" s="91">
        <f>SUM('Peso x tempo'!C298:C316)</f>
        <v>4750.53</v>
      </c>
    </row>
    <row r="33">
      <c r="A33" s="90">
        <v>46168.0</v>
      </c>
      <c r="B33" s="91">
        <f>SUM('Peso x tempo'!C317:C329)</f>
        <v>5024.92</v>
      </c>
    </row>
    <row r="34">
      <c r="A34" s="90">
        <v>46199.0</v>
      </c>
      <c r="B34" s="91">
        <f>SUM('Peso x tempo'!C329:C340)</f>
        <v>5001.75</v>
      </c>
    </row>
    <row r="35">
      <c r="A35" s="90">
        <v>46229.0</v>
      </c>
      <c r="B35" s="91">
        <f>SUM('Peso x tempo'!C341:C356)</f>
        <v>5544.54</v>
      </c>
    </row>
    <row r="36">
      <c r="A36" s="90">
        <v>46260.0</v>
      </c>
      <c r="B36" s="97"/>
    </row>
    <row r="37">
      <c r="A37" s="90">
        <v>46291.0</v>
      </c>
      <c r="B37" s="97"/>
    </row>
    <row r="38">
      <c r="A38" s="90">
        <v>46321.0</v>
      </c>
      <c r="B38" s="97"/>
    </row>
    <row r="39">
      <c r="A39" s="90">
        <v>46352.0</v>
      </c>
      <c r="B39" s="97"/>
    </row>
    <row r="40">
      <c r="A40" s="83"/>
      <c r="B40" s="20"/>
    </row>
    <row r="41">
      <c r="A41" s="83"/>
      <c r="B41" s="20"/>
    </row>
    <row r="42">
      <c r="A42" s="83"/>
      <c r="B42" s="20"/>
    </row>
    <row r="43">
      <c r="A43" s="83"/>
      <c r="B43" s="20"/>
    </row>
    <row r="44">
      <c r="A44" s="83"/>
      <c r="B44" s="20"/>
    </row>
    <row r="45">
      <c r="A45" s="83"/>
      <c r="B45" s="20"/>
    </row>
    <row r="46">
      <c r="A46" s="83"/>
      <c r="B46" s="20"/>
    </row>
    <row r="47">
      <c r="A47" s="83"/>
      <c r="B47" s="20"/>
    </row>
    <row r="48">
      <c r="A48" s="83"/>
      <c r="B48" s="20"/>
    </row>
    <row r="49">
      <c r="A49" s="83"/>
      <c r="B49" s="20"/>
    </row>
    <row r="50">
      <c r="A50" s="83"/>
      <c r="B50" s="20"/>
    </row>
    <row r="51">
      <c r="A51" s="83"/>
      <c r="B51" s="20"/>
    </row>
    <row r="52">
      <c r="A52" s="83"/>
      <c r="B52" s="20"/>
    </row>
    <row r="53">
      <c r="A53" s="83"/>
      <c r="B53" s="20"/>
    </row>
    <row r="54">
      <c r="A54" s="83"/>
      <c r="B54" s="20"/>
    </row>
    <row r="55">
      <c r="A55" s="83"/>
      <c r="B55" s="20"/>
    </row>
    <row r="56">
      <c r="A56" s="83"/>
      <c r="B56" s="20"/>
    </row>
    <row r="57">
      <c r="A57" s="83"/>
      <c r="B57" s="20"/>
    </row>
    <row r="58">
      <c r="A58" s="83"/>
      <c r="B58" s="20"/>
    </row>
    <row r="59">
      <c r="A59" s="83"/>
      <c r="B59" s="20"/>
    </row>
    <row r="60">
      <c r="A60" s="83"/>
      <c r="B60" s="20"/>
    </row>
    <row r="61">
      <c r="A61" s="83"/>
      <c r="B61" s="20"/>
    </row>
    <row r="62">
      <c r="A62" s="83"/>
      <c r="B62" s="20"/>
    </row>
    <row r="63">
      <c r="A63" s="83"/>
      <c r="B63" s="20"/>
    </row>
    <row r="64">
      <c r="A64" s="83"/>
      <c r="B64" s="20"/>
    </row>
    <row r="65">
      <c r="A65" s="83"/>
      <c r="B65" s="20"/>
    </row>
    <row r="66">
      <c r="A66" s="83"/>
      <c r="B66" s="20"/>
    </row>
    <row r="67">
      <c r="A67" s="83"/>
      <c r="B67" s="20"/>
    </row>
    <row r="68">
      <c r="A68" s="83"/>
      <c r="B68" s="20"/>
    </row>
    <row r="69">
      <c r="A69" s="83"/>
      <c r="B69" s="20"/>
    </row>
    <row r="70">
      <c r="A70" s="83"/>
      <c r="B70" s="20"/>
    </row>
    <row r="71">
      <c r="A71" s="83"/>
      <c r="B71" s="20"/>
    </row>
    <row r="72">
      <c r="A72" s="83"/>
      <c r="B72" s="20"/>
    </row>
    <row r="73">
      <c r="A73" s="83"/>
      <c r="B73" s="20"/>
    </row>
    <row r="74">
      <c r="A74" s="83"/>
      <c r="B74" s="20"/>
    </row>
    <row r="75">
      <c r="A75" s="83"/>
      <c r="B75" s="20"/>
    </row>
    <row r="76">
      <c r="A76" s="83"/>
      <c r="B76" s="20"/>
    </row>
    <row r="77">
      <c r="A77" s="83"/>
      <c r="B77" s="20"/>
    </row>
    <row r="78">
      <c r="A78" s="83"/>
      <c r="B78" s="20"/>
    </row>
    <row r="79">
      <c r="A79" s="83"/>
      <c r="B79" s="20"/>
    </row>
    <row r="80">
      <c r="A80" s="83"/>
      <c r="B80" s="20"/>
    </row>
    <row r="81">
      <c r="A81" s="83"/>
      <c r="B81" s="20"/>
    </row>
    <row r="82">
      <c r="A82" s="83"/>
      <c r="B82" s="20"/>
    </row>
    <row r="83">
      <c r="A83" s="83"/>
      <c r="B83" s="20"/>
    </row>
    <row r="84">
      <c r="A84" s="83"/>
      <c r="B84" s="20"/>
    </row>
    <row r="85">
      <c r="A85" s="83"/>
      <c r="B85" s="20"/>
    </row>
    <row r="86">
      <c r="A86" s="83"/>
      <c r="B86" s="20"/>
    </row>
    <row r="87">
      <c r="A87" s="83"/>
      <c r="B87" s="20"/>
    </row>
    <row r="88">
      <c r="A88" s="83"/>
      <c r="B88" s="20"/>
    </row>
    <row r="89">
      <c r="A89" s="83"/>
      <c r="B89" s="20"/>
    </row>
    <row r="90">
      <c r="A90" s="83"/>
      <c r="B90" s="20"/>
    </row>
    <row r="91">
      <c r="A91" s="83"/>
      <c r="B91" s="20"/>
    </row>
    <row r="92">
      <c r="A92" s="83"/>
      <c r="B92" s="20"/>
    </row>
    <row r="93">
      <c r="A93" s="83"/>
      <c r="B93" s="20"/>
    </row>
    <row r="94">
      <c r="A94" s="83"/>
      <c r="B94" s="20"/>
    </row>
    <row r="95">
      <c r="A95" s="83"/>
      <c r="B95" s="20"/>
    </row>
    <row r="96">
      <c r="A96" s="83"/>
      <c r="B96" s="20"/>
    </row>
    <row r="97">
      <c r="A97" s="83"/>
      <c r="B97" s="20"/>
    </row>
    <row r="98">
      <c r="A98" s="83"/>
      <c r="B98" s="20"/>
    </row>
    <row r="99">
      <c r="A99" s="83"/>
      <c r="B99" s="20"/>
    </row>
    <row r="100">
      <c r="A100" s="83"/>
      <c r="B100" s="20"/>
    </row>
    <row r="101">
      <c r="A101" s="83"/>
      <c r="B101" s="20"/>
    </row>
    <row r="102">
      <c r="A102" s="83"/>
      <c r="B102" s="20"/>
    </row>
    <row r="103">
      <c r="A103" s="83"/>
      <c r="B103" s="20"/>
    </row>
    <row r="104">
      <c r="A104" s="83"/>
      <c r="B104" s="20"/>
    </row>
    <row r="105">
      <c r="A105" s="83"/>
      <c r="B105" s="20"/>
    </row>
    <row r="106">
      <c r="A106" s="83"/>
      <c r="B106" s="20"/>
    </row>
    <row r="107">
      <c r="A107" s="83"/>
      <c r="B107" s="20"/>
    </row>
    <row r="108">
      <c r="A108" s="83"/>
      <c r="B108" s="20"/>
    </row>
    <row r="109">
      <c r="A109" s="83"/>
      <c r="B109" s="20"/>
    </row>
    <row r="110">
      <c r="A110" s="83"/>
      <c r="B110" s="20"/>
    </row>
    <row r="111">
      <c r="A111" s="83"/>
      <c r="B111" s="20"/>
    </row>
    <row r="112">
      <c r="A112" s="83"/>
      <c r="B112" s="20"/>
    </row>
    <row r="113">
      <c r="A113" s="83"/>
      <c r="B113" s="20"/>
    </row>
    <row r="114">
      <c r="A114" s="83"/>
      <c r="B114" s="20"/>
    </row>
    <row r="115">
      <c r="A115" s="83"/>
      <c r="B115" s="20"/>
    </row>
    <row r="116">
      <c r="A116" s="83"/>
      <c r="B116" s="20"/>
    </row>
    <row r="117">
      <c r="A117" s="83"/>
      <c r="B117" s="20"/>
    </row>
    <row r="118">
      <c r="A118" s="83"/>
      <c r="B118" s="20"/>
    </row>
    <row r="119">
      <c r="A119" s="83"/>
      <c r="B119" s="20"/>
    </row>
    <row r="120">
      <c r="A120" s="83"/>
      <c r="B120" s="20"/>
    </row>
    <row r="121">
      <c r="A121" s="83"/>
      <c r="B121" s="20"/>
    </row>
    <row r="122">
      <c r="A122" s="83"/>
      <c r="B122" s="20"/>
    </row>
    <row r="123">
      <c r="A123" s="83"/>
      <c r="B123" s="20"/>
    </row>
    <row r="124">
      <c r="A124" s="83"/>
      <c r="B124" s="20"/>
    </row>
    <row r="125">
      <c r="A125" s="83"/>
      <c r="B125" s="20"/>
    </row>
    <row r="126">
      <c r="A126" s="83"/>
      <c r="B126" s="20"/>
    </row>
    <row r="127">
      <c r="A127" s="83"/>
      <c r="B127" s="20"/>
    </row>
    <row r="128">
      <c r="A128" s="83"/>
      <c r="B128" s="20"/>
    </row>
    <row r="129">
      <c r="A129" s="83"/>
      <c r="B129" s="20"/>
    </row>
    <row r="130">
      <c r="A130" s="83"/>
      <c r="B130" s="20"/>
    </row>
    <row r="131">
      <c r="A131" s="83"/>
      <c r="B131" s="20"/>
    </row>
    <row r="132">
      <c r="A132" s="83"/>
      <c r="B132" s="20"/>
    </row>
    <row r="133">
      <c r="A133" s="83"/>
      <c r="B133" s="20"/>
    </row>
    <row r="134">
      <c r="A134" s="83"/>
      <c r="B134" s="20"/>
    </row>
    <row r="135">
      <c r="A135" s="83"/>
      <c r="B135" s="20"/>
    </row>
    <row r="136">
      <c r="A136" s="83"/>
      <c r="B136" s="20"/>
    </row>
    <row r="137">
      <c r="A137" s="83"/>
      <c r="B137" s="20"/>
    </row>
    <row r="138">
      <c r="A138" s="83"/>
      <c r="B138" s="20"/>
    </row>
    <row r="139">
      <c r="A139" s="83"/>
      <c r="B139" s="20"/>
    </row>
    <row r="140">
      <c r="A140" s="83"/>
      <c r="B140" s="20"/>
    </row>
    <row r="141">
      <c r="A141" s="83"/>
      <c r="B141" s="20"/>
    </row>
    <row r="142">
      <c r="A142" s="83"/>
      <c r="B142" s="20"/>
    </row>
    <row r="143">
      <c r="A143" s="83"/>
      <c r="B143" s="20"/>
    </row>
    <row r="144">
      <c r="A144" s="83"/>
      <c r="B144" s="20"/>
    </row>
    <row r="145">
      <c r="A145" s="83"/>
      <c r="B145" s="20"/>
    </row>
    <row r="146">
      <c r="A146" s="83"/>
      <c r="B146" s="20"/>
    </row>
    <row r="147">
      <c r="A147" s="83"/>
      <c r="B147" s="20"/>
    </row>
    <row r="148">
      <c r="A148" s="83"/>
      <c r="B148" s="20"/>
    </row>
    <row r="149">
      <c r="A149" s="83"/>
      <c r="B149" s="20"/>
    </row>
    <row r="150">
      <c r="A150" s="83"/>
      <c r="B150" s="20"/>
    </row>
    <row r="151">
      <c r="A151" s="83"/>
      <c r="B151" s="20"/>
    </row>
    <row r="152">
      <c r="A152" s="83"/>
      <c r="B152" s="20"/>
    </row>
    <row r="153">
      <c r="A153" s="83"/>
      <c r="B153" s="20"/>
    </row>
    <row r="154">
      <c r="A154" s="83"/>
      <c r="B154" s="20"/>
    </row>
    <row r="155">
      <c r="A155" s="83"/>
      <c r="B155" s="20"/>
    </row>
    <row r="156">
      <c r="A156" s="83"/>
      <c r="B156" s="20"/>
    </row>
    <row r="157">
      <c r="A157" s="83"/>
      <c r="B157" s="20"/>
    </row>
    <row r="158">
      <c r="A158" s="83"/>
      <c r="B158" s="20"/>
    </row>
    <row r="159">
      <c r="A159" s="83"/>
      <c r="B159" s="20"/>
    </row>
    <row r="160">
      <c r="A160" s="83"/>
      <c r="B160" s="20"/>
    </row>
    <row r="161">
      <c r="A161" s="83"/>
      <c r="B161" s="20"/>
    </row>
    <row r="162">
      <c r="A162" s="83"/>
      <c r="B162" s="20"/>
    </row>
    <row r="163">
      <c r="A163" s="83"/>
      <c r="B163" s="20"/>
    </row>
    <row r="164">
      <c r="A164" s="83"/>
      <c r="B164" s="20"/>
    </row>
    <row r="165">
      <c r="A165" s="83"/>
      <c r="B165" s="20"/>
    </row>
    <row r="166">
      <c r="A166" s="83"/>
      <c r="B166" s="20"/>
    </row>
    <row r="167">
      <c r="A167" s="83"/>
      <c r="B167" s="20"/>
    </row>
    <row r="168">
      <c r="A168" s="83"/>
      <c r="B168" s="20"/>
    </row>
    <row r="169">
      <c r="A169" s="83"/>
      <c r="B169" s="20"/>
    </row>
    <row r="170">
      <c r="A170" s="83"/>
      <c r="B170" s="20"/>
    </row>
    <row r="171">
      <c r="A171" s="83"/>
      <c r="B171" s="20"/>
    </row>
    <row r="172">
      <c r="A172" s="83"/>
      <c r="B172" s="20"/>
    </row>
    <row r="173">
      <c r="A173" s="83"/>
      <c r="B173" s="20"/>
    </row>
    <row r="174">
      <c r="A174" s="83"/>
      <c r="B174" s="20"/>
    </row>
    <row r="175">
      <c r="A175" s="83"/>
      <c r="B175" s="20"/>
    </row>
    <row r="176">
      <c r="A176" s="83"/>
      <c r="B176" s="20"/>
    </row>
    <row r="177">
      <c r="A177" s="83"/>
      <c r="B177" s="20"/>
    </row>
    <row r="178">
      <c r="A178" s="83"/>
      <c r="B178" s="20"/>
    </row>
    <row r="179">
      <c r="A179" s="83"/>
      <c r="B179" s="20"/>
    </row>
    <row r="180">
      <c r="A180" s="83"/>
      <c r="B180" s="20"/>
    </row>
    <row r="181">
      <c r="A181" s="83"/>
      <c r="B181" s="20"/>
    </row>
    <row r="182">
      <c r="A182" s="83"/>
      <c r="B182" s="20"/>
    </row>
    <row r="183">
      <c r="A183" s="83"/>
      <c r="B183" s="20"/>
    </row>
    <row r="184">
      <c r="A184" s="83"/>
      <c r="B184" s="20"/>
    </row>
    <row r="185">
      <c r="A185" s="83"/>
      <c r="B185" s="20"/>
    </row>
    <row r="186">
      <c r="A186" s="83"/>
      <c r="B186" s="20"/>
    </row>
    <row r="187">
      <c r="A187" s="83"/>
      <c r="B187" s="20"/>
    </row>
    <row r="188">
      <c r="A188" s="83"/>
      <c r="B188" s="20"/>
    </row>
    <row r="189">
      <c r="A189" s="83"/>
      <c r="B189" s="20"/>
    </row>
    <row r="190">
      <c r="A190" s="83"/>
      <c r="B190" s="20"/>
    </row>
    <row r="191">
      <c r="A191" s="83"/>
      <c r="B191" s="20"/>
    </row>
    <row r="192">
      <c r="A192" s="83"/>
      <c r="B192" s="20"/>
    </row>
    <row r="193">
      <c r="A193" s="83"/>
      <c r="B193" s="20"/>
    </row>
    <row r="194">
      <c r="A194" s="83"/>
      <c r="B194" s="20"/>
    </row>
    <row r="195">
      <c r="A195" s="83"/>
      <c r="B195" s="20"/>
    </row>
    <row r="196">
      <c r="A196" s="83"/>
      <c r="B196" s="20"/>
    </row>
    <row r="197">
      <c r="A197" s="83"/>
      <c r="B197" s="20"/>
    </row>
    <row r="198">
      <c r="A198" s="83"/>
      <c r="B198" s="20"/>
    </row>
    <row r="199">
      <c r="A199" s="83"/>
      <c r="B199" s="20"/>
    </row>
    <row r="200">
      <c r="A200" s="83"/>
      <c r="B200" s="20"/>
    </row>
    <row r="201">
      <c r="A201" s="83"/>
      <c r="B201" s="20"/>
    </row>
    <row r="202">
      <c r="A202" s="83"/>
      <c r="B202" s="20"/>
    </row>
    <row r="203">
      <c r="A203" s="83"/>
      <c r="B203" s="20"/>
    </row>
    <row r="204">
      <c r="A204" s="83"/>
      <c r="B204" s="20"/>
    </row>
    <row r="205">
      <c r="A205" s="83"/>
      <c r="B205" s="20"/>
    </row>
    <row r="206">
      <c r="A206" s="83"/>
      <c r="B206" s="20"/>
    </row>
    <row r="207">
      <c r="A207" s="83"/>
      <c r="B207" s="20"/>
    </row>
    <row r="208">
      <c r="A208" s="83"/>
      <c r="B208" s="20"/>
    </row>
    <row r="209">
      <c r="A209" s="83"/>
      <c r="B209" s="20"/>
    </row>
    <row r="210">
      <c r="A210" s="83"/>
      <c r="B210" s="20"/>
    </row>
    <row r="211">
      <c r="A211" s="83"/>
      <c r="B211" s="20"/>
    </row>
    <row r="212">
      <c r="A212" s="83"/>
      <c r="B212" s="20"/>
    </row>
    <row r="213">
      <c r="A213" s="83"/>
      <c r="B213" s="20"/>
    </row>
    <row r="214">
      <c r="A214" s="83"/>
      <c r="B214" s="20"/>
    </row>
    <row r="215">
      <c r="A215" s="83"/>
      <c r="B215" s="20"/>
    </row>
    <row r="216">
      <c r="A216" s="83"/>
      <c r="B216" s="20"/>
    </row>
    <row r="217">
      <c r="A217" s="83"/>
      <c r="B217" s="20"/>
    </row>
    <row r="218">
      <c r="A218" s="83"/>
      <c r="B218" s="20"/>
    </row>
    <row r="219">
      <c r="A219" s="83"/>
      <c r="B219" s="20"/>
    </row>
    <row r="220">
      <c r="A220" s="83"/>
      <c r="B220" s="20"/>
    </row>
    <row r="221">
      <c r="A221" s="83"/>
      <c r="B221" s="20"/>
    </row>
    <row r="222">
      <c r="A222" s="83"/>
      <c r="B222" s="20"/>
    </row>
    <row r="223">
      <c r="A223" s="83"/>
      <c r="B223" s="20"/>
    </row>
    <row r="224">
      <c r="A224" s="83"/>
      <c r="B224" s="20"/>
    </row>
    <row r="225">
      <c r="A225" s="83"/>
      <c r="B225" s="20"/>
    </row>
    <row r="226">
      <c r="A226" s="83"/>
      <c r="B226" s="20"/>
    </row>
    <row r="227">
      <c r="A227" s="83"/>
      <c r="B227" s="20"/>
    </row>
    <row r="228">
      <c r="A228" s="83"/>
      <c r="B228" s="20"/>
    </row>
    <row r="229">
      <c r="A229" s="83"/>
      <c r="B229" s="20"/>
    </row>
    <row r="230">
      <c r="A230" s="83"/>
      <c r="B230" s="20"/>
    </row>
    <row r="231">
      <c r="A231" s="83"/>
      <c r="B231" s="20"/>
    </row>
    <row r="232">
      <c r="A232" s="83"/>
      <c r="B232" s="20"/>
    </row>
    <row r="233">
      <c r="A233" s="83"/>
      <c r="B233" s="20"/>
    </row>
    <row r="234">
      <c r="A234" s="83"/>
      <c r="B234" s="20"/>
    </row>
    <row r="235">
      <c r="A235" s="83"/>
      <c r="B235" s="20"/>
    </row>
    <row r="236">
      <c r="A236" s="83"/>
      <c r="B236" s="20"/>
    </row>
    <row r="237">
      <c r="A237" s="83"/>
      <c r="B237" s="20"/>
    </row>
    <row r="238">
      <c r="A238" s="83"/>
      <c r="B238" s="20"/>
    </row>
    <row r="239">
      <c r="A239" s="83"/>
      <c r="B239" s="20"/>
    </row>
    <row r="240">
      <c r="A240" s="83"/>
      <c r="B240" s="20"/>
    </row>
    <row r="241">
      <c r="A241" s="83"/>
      <c r="B241" s="20"/>
    </row>
    <row r="242">
      <c r="A242" s="83"/>
      <c r="B242" s="20"/>
    </row>
    <row r="243">
      <c r="A243" s="83"/>
      <c r="B243" s="20"/>
    </row>
    <row r="244">
      <c r="A244" s="83"/>
      <c r="B244" s="20"/>
    </row>
    <row r="245">
      <c r="A245" s="83"/>
      <c r="B245" s="20"/>
    </row>
    <row r="246">
      <c r="A246" s="83"/>
      <c r="B246" s="20"/>
    </row>
    <row r="247">
      <c r="A247" s="83"/>
      <c r="B247" s="20"/>
    </row>
    <row r="248">
      <c r="A248" s="83"/>
      <c r="B248" s="20"/>
    </row>
    <row r="249">
      <c r="A249" s="83"/>
      <c r="B249" s="20"/>
    </row>
    <row r="250">
      <c r="A250" s="83"/>
      <c r="B250" s="20"/>
    </row>
    <row r="251">
      <c r="A251" s="83"/>
      <c r="B251" s="20"/>
    </row>
    <row r="252">
      <c r="A252" s="83"/>
      <c r="B252" s="20"/>
    </row>
    <row r="253">
      <c r="A253" s="83"/>
      <c r="B253" s="20"/>
    </row>
    <row r="254">
      <c r="A254" s="83"/>
      <c r="B254" s="20"/>
    </row>
    <row r="255">
      <c r="A255" s="83"/>
      <c r="B255" s="20"/>
    </row>
    <row r="256">
      <c r="A256" s="83"/>
      <c r="B256" s="20"/>
    </row>
    <row r="257">
      <c r="A257" s="83"/>
      <c r="B257" s="20"/>
    </row>
    <row r="258">
      <c r="A258" s="83"/>
      <c r="B258" s="20"/>
    </row>
    <row r="259">
      <c r="A259" s="83"/>
      <c r="B259" s="20"/>
    </row>
    <row r="260">
      <c r="A260" s="83"/>
      <c r="B260" s="20"/>
    </row>
    <row r="261">
      <c r="A261" s="83"/>
      <c r="B261" s="20"/>
    </row>
    <row r="262">
      <c r="A262" s="83"/>
      <c r="B262" s="20"/>
    </row>
    <row r="263">
      <c r="A263" s="83"/>
      <c r="B263" s="20"/>
    </row>
    <row r="264">
      <c r="A264" s="83"/>
      <c r="B264" s="20"/>
    </row>
    <row r="265">
      <c r="A265" s="83"/>
      <c r="B265" s="20"/>
    </row>
    <row r="266">
      <c r="A266" s="83"/>
      <c r="B266" s="20"/>
    </row>
    <row r="267">
      <c r="A267" s="83"/>
      <c r="B267" s="20"/>
    </row>
    <row r="268">
      <c r="A268" s="83"/>
      <c r="B268" s="20"/>
    </row>
    <row r="269">
      <c r="A269" s="83"/>
      <c r="B269" s="20"/>
    </row>
    <row r="270">
      <c r="A270" s="83"/>
      <c r="B270" s="20"/>
    </row>
    <row r="271">
      <c r="A271" s="83"/>
      <c r="B271" s="20"/>
    </row>
    <row r="272">
      <c r="A272" s="83"/>
      <c r="B272" s="20"/>
    </row>
    <row r="273">
      <c r="A273" s="83"/>
      <c r="B273" s="20"/>
    </row>
    <row r="274">
      <c r="A274" s="83"/>
      <c r="B274" s="20"/>
    </row>
    <row r="275">
      <c r="A275" s="83"/>
      <c r="B275" s="20"/>
    </row>
    <row r="276">
      <c r="A276" s="83"/>
      <c r="B276" s="20"/>
    </row>
    <row r="277">
      <c r="A277" s="83"/>
      <c r="B277" s="20"/>
    </row>
    <row r="278">
      <c r="A278" s="83"/>
      <c r="B278" s="20"/>
    </row>
    <row r="279">
      <c r="A279" s="83"/>
      <c r="B279" s="20"/>
    </row>
    <row r="280">
      <c r="A280" s="83"/>
      <c r="B280" s="20"/>
    </row>
    <row r="281">
      <c r="A281" s="83"/>
      <c r="B281" s="20"/>
    </row>
    <row r="282">
      <c r="A282" s="83"/>
      <c r="B282" s="20"/>
    </row>
    <row r="283">
      <c r="A283" s="83"/>
      <c r="B283" s="20"/>
    </row>
    <row r="284">
      <c r="A284" s="83"/>
      <c r="B284" s="20"/>
    </row>
    <row r="285">
      <c r="A285" s="83"/>
      <c r="B285" s="20"/>
    </row>
    <row r="286">
      <c r="A286" s="83"/>
      <c r="B286" s="20"/>
    </row>
    <row r="287">
      <c r="A287" s="83"/>
      <c r="B287" s="20"/>
    </row>
    <row r="288">
      <c r="A288" s="83"/>
      <c r="B288" s="20"/>
    </row>
    <row r="289">
      <c r="A289" s="83"/>
      <c r="B289" s="20"/>
    </row>
    <row r="290">
      <c r="A290" s="83"/>
      <c r="B290" s="20"/>
    </row>
    <row r="291">
      <c r="A291" s="83"/>
      <c r="B291" s="20"/>
    </row>
    <row r="292">
      <c r="A292" s="83"/>
      <c r="B292" s="20"/>
    </row>
    <row r="293">
      <c r="A293" s="83"/>
      <c r="B293" s="20"/>
    </row>
    <row r="294">
      <c r="A294" s="83"/>
      <c r="B294" s="20"/>
    </row>
    <row r="295">
      <c r="A295" s="83"/>
      <c r="B295" s="20"/>
    </row>
    <row r="296">
      <c r="A296" s="83"/>
      <c r="B296" s="20"/>
    </row>
    <row r="297">
      <c r="A297" s="83"/>
      <c r="B297" s="20"/>
    </row>
    <row r="298">
      <c r="A298" s="83"/>
      <c r="B298" s="20"/>
    </row>
    <row r="299">
      <c r="A299" s="83"/>
      <c r="B299" s="20"/>
    </row>
    <row r="300">
      <c r="A300" s="83"/>
      <c r="B300" s="20"/>
    </row>
    <row r="301">
      <c r="A301" s="83"/>
      <c r="B301" s="20"/>
    </row>
    <row r="302">
      <c r="A302" s="83"/>
      <c r="B302" s="20"/>
    </row>
    <row r="303">
      <c r="A303" s="83"/>
      <c r="B303" s="20"/>
    </row>
    <row r="304">
      <c r="A304" s="83"/>
      <c r="B304" s="20"/>
    </row>
    <row r="305">
      <c r="A305" s="83"/>
      <c r="B305" s="20"/>
    </row>
    <row r="306">
      <c r="A306" s="83"/>
      <c r="B306" s="20"/>
    </row>
    <row r="307">
      <c r="A307" s="83"/>
      <c r="B307" s="20"/>
    </row>
    <row r="308">
      <c r="A308" s="83"/>
      <c r="B308" s="20"/>
    </row>
    <row r="309">
      <c r="A309" s="83"/>
      <c r="B309" s="20"/>
    </row>
    <row r="310">
      <c r="A310" s="83"/>
      <c r="B310" s="20"/>
    </row>
    <row r="311">
      <c r="A311" s="83"/>
      <c r="B311" s="20"/>
    </row>
    <row r="312">
      <c r="A312" s="83"/>
      <c r="B312" s="20"/>
    </row>
    <row r="313">
      <c r="A313" s="83"/>
      <c r="B313" s="20"/>
    </row>
    <row r="314">
      <c r="A314" s="83"/>
      <c r="B314" s="20"/>
    </row>
    <row r="315">
      <c r="A315" s="83"/>
      <c r="B315" s="20"/>
    </row>
    <row r="316">
      <c r="A316" s="83"/>
      <c r="B316" s="20"/>
    </row>
    <row r="317">
      <c r="A317" s="83"/>
      <c r="B317" s="20"/>
    </row>
    <row r="318">
      <c r="A318" s="83"/>
      <c r="B318" s="20"/>
    </row>
    <row r="319">
      <c r="A319" s="83"/>
      <c r="B319" s="20"/>
    </row>
    <row r="320">
      <c r="A320" s="83"/>
      <c r="B320" s="20"/>
    </row>
    <row r="321">
      <c r="A321" s="83"/>
      <c r="B321" s="20"/>
    </row>
    <row r="322">
      <c r="A322" s="83"/>
      <c r="B322" s="20"/>
    </row>
    <row r="323">
      <c r="A323" s="83"/>
      <c r="B323" s="20"/>
    </row>
    <row r="324">
      <c r="A324" s="83"/>
      <c r="B324" s="20"/>
    </row>
    <row r="325">
      <c r="A325" s="83"/>
      <c r="B325" s="20"/>
    </row>
    <row r="326">
      <c r="A326" s="83"/>
      <c r="B326" s="20"/>
    </row>
    <row r="327">
      <c r="A327" s="83"/>
      <c r="B327" s="20"/>
    </row>
    <row r="328">
      <c r="A328" s="83"/>
      <c r="B328" s="20"/>
    </row>
    <row r="329">
      <c r="A329" s="83"/>
      <c r="B329" s="20"/>
    </row>
    <row r="330">
      <c r="A330" s="83"/>
      <c r="B330" s="20"/>
    </row>
    <row r="331">
      <c r="A331" s="83"/>
      <c r="B331" s="20"/>
    </row>
    <row r="332">
      <c r="A332" s="83"/>
      <c r="B332" s="20"/>
    </row>
    <row r="333">
      <c r="A333" s="83"/>
      <c r="B333" s="20"/>
    </row>
    <row r="334">
      <c r="A334" s="83"/>
      <c r="B334" s="20"/>
    </row>
    <row r="335">
      <c r="A335" s="83"/>
      <c r="B335" s="20"/>
    </row>
    <row r="336">
      <c r="A336" s="83"/>
      <c r="B336" s="20"/>
    </row>
    <row r="337">
      <c r="A337" s="83"/>
      <c r="B337" s="20"/>
    </row>
    <row r="338">
      <c r="A338" s="83"/>
      <c r="B338" s="20"/>
    </row>
    <row r="339">
      <c r="A339" s="83"/>
      <c r="B339" s="20"/>
    </row>
    <row r="340">
      <c r="A340" s="83"/>
      <c r="B340" s="20"/>
    </row>
    <row r="341">
      <c r="A341" s="83"/>
      <c r="B341" s="20"/>
    </row>
    <row r="342">
      <c r="A342" s="83"/>
      <c r="B342" s="20"/>
    </row>
    <row r="343">
      <c r="A343" s="83"/>
      <c r="B343" s="20"/>
    </row>
    <row r="344">
      <c r="A344" s="83"/>
      <c r="B344" s="20"/>
    </row>
    <row r="345">
      <c r="A345" s="83"/>
      <c r="B345" s="20"/>
    </row>
    <row r="346">
      <c r="A346" s="83"/>
      <c r="B346" s="20"/>
    </row>
    <row r="347">
      <c r="A347" s="83"/>
      <c r="B347" s="20"/>
    </row>
    <row r="348">
      <c r="A348" s="83"/>
      <c r="B348" s="20"/>
    </row>
    <row r="349">
      <c r="A349" s="83"/>
      <c r="B349" s="20"/>
    </row>
    <row r="350">
      <c r="A350" s="83"/>
      <c r="B350" s="20"/>
    </row>
    <row r="351">
      <c r="A351" s="83"/>
      <c r="B351" s="20"/>
    </row>
    <row r="352">
      <c r="A352" s="83"/>
      <c r="B352" s="20"/>
    </row>
    <row r="353">
      <c r="A353" s="83"/>
      <c r="B353" s="20"/>
    </row>
    <row r="354">
      <c r="A354" s="83"/>
      <c r="B354" s="20"/>
    </row>
    <row r="355">
      <c r="A355" s="83"/>
      <c r="B355" s="20"/>
    </row>
    <row r="356">
      <c r="A356" s="83"/>
      <c r="B356" s="20"/>
    </row>
    <row r="357">
      <c r="A357" s="83"/>
      <c r="B357" s="20"/>
    </row>
    <row r="358">
      <c r="A358" s="83"/>
      <c r="B358" s="20"/>
    </row>
    <row r="359">
      <c r="A359" s="83"/>
      <c r="B359" s="20"/>
    </row>
    <row r="360">
      <c r="A360" s="83"/>
      <c r="B360" s="20"/>
    </row>
    <row r="361">
      <c r="A361" s="83"/>
      <c r="B361" s="20"/>
    </row>
    <row r="362">
      <c r="A362" s="83"/>
      <c r="B362" s="20"/>
    </row>
    <row r="363">
      <c r="A363" s="83"/>
      <c r="B363" s="20"/>
    </row>
    <row r="364">
      <c r="A364" s="83"/>
      <c r="B364" s="20"/>
    </row>
    <row r="365">
      <c r="A365" s="83"/>
      <c r="B365" s="20"/>
    </row>
    <row r="366">
      <c r="A366" s="83"/>
      <c r="B366" s="20"/>
    </row>
    <row r="367">
      <c r="A367" s="83"/>
      <c r="B367" s="20"/>
    </row>
    <row r="368">
      <c r="A368" s="83"/>
      <c r="B368" s="20"/>
    </row>
    <row r="369">
      <c r="A369" s="83"/>
      <c r="B369" s="20"/>
    </row>
    <row r="370">
      <c r="A370" s="83"/>
      <c r="B370" s="20"/>
    </row>
    <row r="371">
      <c r="A371" s="83"/>
      <c r="B371" s="20"/>
    </row>
    <row r="372">
      <c r="A372" s="83"/>
      <c r="B372" s="20"/>
    </row>
    <row r="373">
      <c r="A373" s="83"/>
      <c r="B373" s="20"/>
    </row>
    <row r="374">
      <c r="A374" s="83"/>
      <c r="B374" s="20"/>
    </row>
    <row r="375">
      <c r="A375" s="83"/>
      <c r="B375" s="20"/>
    </row>
    <row r="376">
      <c r="A376" s="83"/>
      <c r="B376" s="20"/>
    </row>
    <row r="377">
      <c r="A377" s="83"/>
      <c r="B377" s="20"/>
    </row>
    <row r="378">
      <c r="A378" s="83"/>
      <c r="B378" s="20"/>
    </row>
    <row r="379">
      <c r="A379" s="83"/>
      <c r="B379" s="20"/>
    </row>
    <row r="380">
      <c r="A380" s="83"/>
      <c r="B380" s="20"/>
    </row>
    <row r="381">
      <c r="A381" s="83"/>
      <c r="B381" s="20"/>
    </row>
    <row r="382">
      <c r="A382" s="83"/>
      <c r="B382" s="20"/>
    </row>
    <row r="383">
      <c r="A383" s="83"/>
      <c r="B383" s="20"/>
    </row>
    <row r="384">
      <c r="A384" s="83"/>
      <c r="B384" s="20"/>
    </row>
    <row r="385">
      <c r="A385" s="83"/>
      <c r="B385" s="20"/>
    </row>
    <row r="386">
      <c r="A386" s="83"/>
      <c r="B386" s="20"/>
    </row>
    <row r="387">
      <c r="A387" s="83"/>
      <c r="B387" s="20"/>
    </row>
    <row r="388">
      <c r="A388" s="83"/>
      <c r="B388" s="20"/>
    </row>
    <row r="389">
      <c r="A389" s="83"/>
      <c r="B389" s="20"/>
    </row>
    <row r="390">
      <c r="A390" s="83"/>
      <c r="B390" s="20"/>
    </row>
    <row r="391">
      <c r="A391" s="83"/>
      <c r="B391" s="20"/>
    </row>
    <row r="392">
      <c r="A392" s="83"/>
      <c r="B392" s="20"/>
    </row>
    <row r="393">
      <c r="A393" s="83"/>
      <c r="B393" s="20"/>
    </row>
    <row r="394">
      <c r="A394" s="83"/>
      <c r="B394" s="20"/>
    </row>
    <row r="395">
      <c r="A395" s="83"/>
      <c r="B395" s="20"/>
    </row>
    <row r="396">
      <c r="A396" s="83"/>
      <c r="B396" s="20"/>
    </row>
    <row r="397">
      <c r="A397" s="83"/>
      <c r="B397" s="20"/>
    </row>
    <row r="398">
      <c r="A398" s="83"/>
      <c r="B398" s="20"/>
    </row>
    <row r="399">
      <c r="A399" s="83"/>
      <c r="B399" s="20"/>
    </row>
    <row r="400">
      <c r="A400" s="83"/>
      <c r="B400" s="20"/>
    </row>
    <row r="401">
      <c r="A401" s="83"/>
      <c r="B401" s="20"/>
    </row>
    <row r="402">
      <c r="A402" s="83"/>
      <c r="B402" s="20"/>
    </row>
    <row r="403">
      <c r="A403" s="83"/>
      <c r="B403" s="20"/>
    </row>
    <row r="404">
      <c r="A404" s="83"/>
      <c r="B404" s="20"/>
    </row>
    <row r="405">
      <c r="A405" s="83"/>
      <c r="B405" s="20"/>
    </row>
    <row r="406">
      <c r="A406" s="83"/>
      <c r="B406" s="20"/>
    </row>
    <row r="407">
      <c r="A407" s="83"/>
      <c r="B407" s="20"/>
    </row>
    <row r="408">
      <c r="A408" s="83"/>
      <c r="B408" s="20"/>
    </row>
    <row r="409">
      <c r="A409" s="83"/>
      <c r="B409" s="20"/>
    </row>
    <row r="410">
      <c r="A410" s="83"/>
      <c r="B410" s="20"/>
    </row>
    <row r="411">
      <c r="A411" s="83"/>
      <c r="B411" s="20"/>
    </row>
    <row r="412">
      <c r="A412" s="83"/>
      <c r="B412" s="20"/>
    </row>
    <row r="413">
      <c r="A413" s="83"/>
      <c r="B413" s="20"/>
    </row>
    <row r="414">
      <c r="A414" s="83"/>
      <c r="B414" s="20"/>
    </row>
    <row r="415">
      <c r="A415" s="83"/>
      <c r="B415" s="20"/>
    </row>
    <row r="416">
      <c r="A416" s="83"/>
      <c r="B416" s="20"/>
    </row>
    <row r="417">
      <c r="A417" s="83"/>
      <c r="B417" s="20"/>
    </row>
    <row r="418">
      <c r="A418" s="83"/>
      <c r="B418" s="20"/>
    </row>
    <row r="419">
      <c r="A419" s="83"/>
      <c r="B419" s="20"/>
    </row>
    <row r="420">
      <c r="A420" s="83"/>
      <c r="B420" s="20"/>
    </row>
    <row r="421">
      <c r="A421" s="83"/>
      <c r="B421" s="20"/>
    </row>
    <row r="422">
      <c r="A422" s="83"/>
      <c r="B422" s="20"/>
    </row>
    <row r="423">
      <c r="A423" s="83"/>
      <c r="B423" s="20"/>
    </row>
    <row r="424">
      <c r="A424" s="83"/>
      <c r="B424" s="20"/>
    </row>
    <row r="425">
      <c r="A425" s="83"/>
      <c r="B425" s="20"/>
    </row>
    <row r="426">
      <c r="A426" s="83"/>
      <c r="B426" s="20"/>
    </row>
    <row r="427">
      <c r="A427" s="83"/>
      <c r="B427" s="20"/>
    </row>
    <row r="428">
      <c r="A428" s="83"/>
      <c r="B428" s="20"/>
    </row>
    <row r="429">
      <c r="A429" s="83"/>
      <c r="B429" s="20"/>
    </row>
    <row r="430">
      <c r="A430" s="83"/>
      <c r="B430" s="20"/>
    </row>
    <row r="431">
      <c r="A431" s="83"/>
      <c r="B431" s="20"/>
    </row>
    <row r="432">
      <c r="A432" s="83"/>
      <c r="B432" s="20"/>
    </row>
    <row r="433">
      <c r="A433" s="83"/>
      <c r="B433" s="20"/>
    </row>
    <row r="434">
      <c r="A434" s="83"/>
      <c r="B434" s="20"/>
    </row>
    <row r="435">
      <c r="A435" s="83"/>
      <c r="B435" s="20"/>
    </row>
    <row r="436">
      <c r="A436" s="83"/>
      <c r="B436" s="20"/>
    </row>
    <row r="437">
      <c r="A437" s="83"/>
      <c r="B437" s="20"/>
    </row>
    <row r="438">
      <c r="A438" s="83"/>
      <c r="B438" s="20"/>
    </row>
    <row r="439">
      <c r="A439" s="83"/>
      <c r="B439" s="20"/>
    </row>
    <row r="440">
      <c r="A440" s="83"/>
      <c r="B440" s="20"/>
    </row>
    <row r="441">
      <c r="A441" s="83"/>
      <c r="B441" s="20"/>
    </row>
    <row r="442">
      <c r="A442" s="83"/>
      <c r="B442" s="20"/>
    </row>
    <row r="443">
      <c r="A443" s="83"/>
      <c r="B443" s="20"/>
    </row>
    <row r="444">
      <c r="A444" s="83"/>
      <c r="B444" s="20"/>
    </row>
    <row r="445">
      <c r="A445" s="83"/>
      <c r="B445" s="20"/>
    </row>
    <row r="446">
      <c r="A446" s="83"/>
      <c r="B446" s="20"/>
    </row>
    <row r="447">
      <c r="A447" s="83"/>
      <c r="B447" s="20"/>
    </row>
    <row r="448">
      <c r="A448" s="83"/>
      <c r="B448" s="20"/>
    </row>
    <row r="449">
      <c r="A449" s="83"/>
      <c r="B449" s="20"/>
    </row>
    <row r="450">
      <c r="A450" s="83"/>
      <c r="B450" s="20"/>
    </row>
    <row r="451">
      <c r="A451" s="83"/>
      <c r="B451" s="20"/>
    </row>
    <row r="452">
      <c r="A452" s="83"/>
      <c r="B452" s="20"/>
    </row>
    <row r="453">
      <c r="A453" s="83"/>
      <c r="B453" s="20"/>
    </row>
    <row r="454">
      <c r="A454" s="83"/>
      <c r="B454" s="20"/>
    </row>
    <row r="455">
      <c r="A455" s="83"/>
      <c r="B455" s="20"/>
    </row>
    <row r="456">
      <c r="A456" s="83"/>
      <c r="B456" s="20"/>
    </row>
    <row r="457">
      <c r="A457" s="83"/>
      <c r="B457" s="20"/>
    </row>
    <row r="458">
      <c r="A458" s="83"/>
      <c r="B458" s="20"/>
    </row>
    <row r="459">
      <c r="A459" s="83"/>
      <c r="B459" s="20"/>
    </row>
    <row r="460">
      <c r="A460" s="83"/>
      <c r="B460" s="20"/>
    </row>
    <row r="461">
      <c r="A461" s="83"/>
      <c r="B461" s="20"/>
    </row>
    <row r="462">
      <c r="A462" s="83"/>
      <c r="B462" s="20"/>
    </row>
    <row r="463">
      <c r="A463" s="83"/>
      <c r="B463" s="20"/>
    </row>
    <row r="464">
      <c r="A464" s="83"/>
      <c r="B464" s="20"/>
    </row>
    <row r="465">
      <c r="A465" s="83"/>
      <c r="B465" s="20"/>
    </row>
    <row r="466">
      <c r="A466" s="83"/>
      <c r="B466" s="20"/>
    </row>
    <row r="467">
      <c r="A467" s="83"/>
      <c r="B467" s="20"/>
    </row>
    <row r="468">
      <c r="A468" s="83"/>
      <c r="B468" s="20"/>
    </row>
    <row r="469">
      <c r="A469" s="83"/>
      <c r="B469" s="20"/>
    </row>
    <row r="470">
      <c r="A470" s="83"/>
      <c r="B470" s="20"/>
    </row>
    <row r="471">
      <c r="A471" s="83"/>
      <c r="B471" s="20"/>
    </row>
    <row r="472">
      <c r="A472" s="83"/>
      <c r="B472" s="20"/>
    </row>
    <row r="473">
      <c r="A473" s="83"/>
      <c r="B473" s="20"/>
    </row>
    <row r="474">
      <c r="A474" s="83"/>
      <c r="B474" s="20"/>
    </row>
    <row r="475">
      <c r="A475" s="83"/>
      <c r="B475" s="20"/>
    </row>
    <row r="476">
      <c r="A476" s="83"/>
      <c r="B476" s="20"/>
    </row>
    <row r="477">
      <c r="A477" s="83"/>
      <c r="B477" s="20"/>
    </row>
    <row r="478">
      <c r="A478" s="83"/>
      <c r="B478" s="20"/>
    </row>
    <row r="479">
      <c r="A479" s="83"/>
      <c r="B479" s="20"/>
    </row>
    <row r="480">
      <c r="A480" s="83"/>
      <c r="B480" s="20"/>
    </row>
    <row r="481">
      <c r="A481" s="83"/>
      <c r="B481" s="20"/>
    </row>
    <row r="482">
      <c r="A482" s="83"/>
      <c r="B482" s="20"/>
    </row>
    <row r="483">
      <c r="A483" s="83"/>
      <c r="B483" s="20"/>
    </row>
    <row r="484">
      <c r="A484" s="83"/>
      <c r="B484" s="20"/>
    </row>
    <row r="485">
      <c r="A485" s="83"/>
      <c r="B485" s="20"/>
    </row>
    <row r="486">
      <c r="A486" s="83"/>
      <c r="B486" s="20"/>
    </row>
    <row r="487">
      <c r="A487" s="83"/>
      <c r="B487" s="20"/>
    </row>
    <row r="488">
      <c r="A488" s="83"/>
      <c r="B488" s="20"/>
    </row>
    <row r="489">
      <c r="A489" s="83"/>
      <c r="B489" s="20"/>
    </row>
    <row r="490">
      <c r="A490" s="83"/>
      <c r="B490" s="20"/>
    </row>
    <row r="491">
      <c r="A491" s="83"/>
      <c r="B491" s="20"/>
    </row>
    <row r="492">
      <c r="A492" s="83"/>
      <c r="B492" s="20"/>
    </row>
    <row r="493">
      <c r="A493" s="83"/>
      <c r="B493" s="20"/>
    </row>
    <row r="494">
      <c r="A494" s="83"/>
      <c r="B494" s="20"/>
    </row>
    <row r="495">
      <c r="A495" s="83"/>
      <c r="B495" s="20"/>
    </row>
    <row r="496">
      <c r="A496" s="83"/>
      <c r="B496" s="20"/>
    </row>
    <row r="497">
      <c r="A497" s="83"/>
      <c r="B497" s="20"/>
    </row>
    <row r="498">
      <c r="A498" s="83"/>
      <c r="B498" s="20"/>
    </row>
    <row r="499">
      <c r="A499" s="83"/>
      <c r="B499" s="20"/>
    </row>
    <row r="500">
      <c r="A500" s="83"/>
      <c r="B500" s="20"/>
    </row>
    <row r="501">
      <c r="A501" s="83"/>
      <c r="B501" s="20"/>
    </row>
    <row r="502">
      <c r="A502" s="83"/>
      <c r="B502" s="20"/>
    </row>
    <row r="503">
      <c r="A503" s="83"/>
      <c r="B503" s="20"/>
    </row>
    <row r="504">
      <c r="A504" s="83"/>
      <c r="B504" s="20"/>
    </row>
    <row r="505">
      <c r="A505" s="83"/>
      <c r="B505" s="20"/>
    </row>
    <row r="506">
      <c r="A506" s="83"/>
      <c r="B506" s="20"/>
    </row>
    <row r="507">
      <c r="A507" s="83"/>
      <c r="B507" s="20"/>
    </row>
    <row r="508">
      <c r="A508" s="83"/>
      <c r="B508" s="20"/>
    </row>
    <row r="509">
      <c r="A509" s="83"/>
      <c r="B509" s="20"/>
    </row>
    <row r="510">
      <c r="A510" s="83"/>
      <c r="B510" s="20"/>
    </row>
    <row r="511">
      <c r="A511" s="83"/>
      <c r="B511" s="20"/>
    </row>
    <row r="512">
      <c r="A512" s="83"/>
      <c r="B512" s="20"/>
    </row>
    <row r="513">
      <c r="A513" s="83"/>
      <c r="B513" s="20"/>
    </row>
    <row r="514">
      <c r="A514" s="83"/>
      <c r="B514" s="20"/>
    </row>
    <row r="515">
      <c r="A515" s="83"/>
      <c r="B515" s="20"/>
    </row>
    <row r="516">
      <c r="A516" s="83"/>
      <c r="B516" s="20"/>
    </row>
    <row r="517">
      <c r="A517" s="83"/>
      <c r="B517" s="20"/>
    </row>
    <row r="518">
      <c r="A518" s="83"/>
      <c r="B518" s="20"/>
    </row>
    <row r="519">
      <c r="A519" s="83"/>
      <c r="B519" s="20"/>
    </row>
    <row r="520">
      <c r="A520" s="83"/>
      <c r="B520" s="20"/>
    </row>
    <row r="521">
      <c r="A521" s="83"/>
      <c r="B521" s="20"/>
    </row>
    <row r="522">
      <c r="A522" s="83"/>
      <c r="B522" s="20"/>
    </row>
    <row r="523">
      <c r="A523" s="83"/>
      <c r="B523" s="20"/>
    </row>
    <row r="524">
      <c r="A524" s="83"/>
      <c r="B524" s="20"/>
    </row>
    <row r="525">
      <c r="A525" s="83"/>
      <c r="B525" s="20"/>
    </row>
    <row r="526">
      <c r="A526" s="83"/>
      <c r="B526" s="20"/>
    </row>
    <row r="527">
      <c r="A527" s="83"/>
      <c r="B527" s="20"/>
    </row>
    <row r="528">
      <c r="A528" s="83"/>
      <c r="B528" s="20"/>
    </row>
    <row r="529">
      <c r="A529" s="83"/>
      <c r="B529" s="20"/>
    </row>
    <row r="530">
      <c r="A530" s="83"/>
      <c r="B530" s="20"/>
    </row>
    <row r="531">
      <c r="A531" s="83"/>
      <c r="B531" s="20"/>
    </row>
    <row r="532">
      <c r="A532" s="83"/>
      <c r="B532" s="20"/>
    </row>
    <row r="533">
      <c r="A533" s="83"/>
      <c r="B533" s="20"/>
    </row>
    <row r="534">
      <c r="A534" s="83"/>
      <c r="B534" s="20"/>
    </row>
    <row r="535">
      <c r="A535" s="83"/>
      <c r="B535" s="20"/>
    </row>
    <row r="536">
      <c r="A536" s="83"/>
      <c r="B536" s="20"/>
    </row>
    <row r="537">
      <c r="A537" s="83"/>
      <c r="B537" s="20"/>
    </row>
    <row r="538">
      <c r="A538" s="83"/>
      <c r="B538" s="20"/>
    </row>
    <row r="539">
      <c r="A539" s="83"/>
      <c r="B539" s="20"/>
    </row>
    <row r="540">
      <c r="A540" s="83"/>
      <c r="B540" s="20"/>
    </row>
    <row r="541">
      <c r="A541" s="83"/>
      <c r="B541" s="20"/>
    </row>
    <row r="542">
      <c r="A542" s="83"/>
      <c r="B542" s="20"/>
    </row>
    <row r="543">
      <c r="A543" s="83"/>
      <c r="B543" s="20"/>
    </row>
    <row r="544">
      <c r="A544" s="83"/>
      <c r="B544" s="20"/>
    </row>
    <row r="545">
      <c r="A545" s="83"/>
      <c r="B545" s="20"/>
    </row>
    <row r="546">
      <c r="A546" s="83"/>
      <c r="B546" s="20"/>
    </row>
    <row r="547">
      <c r="A547" s="83"/>
      <c r="B547" s="20"/>
    </row>
    <row r="548">
      <c r="A548" s="83"/>
      <c r="B548" s="20"/>
    </row>
    <row r="549">
      <c r="A549" s="83"/>
      <c r="B549" s="20"/>
    </row>
    <row r="550">
      <c r="A550" s="83"/>
      <c r="B550" s="20"/>
    </row>
    <row r="551">
      <c r="A551" s="83"/>
      <c r="B551" s="20"/>
    </row>
    <row r="552">
      <c r="A552" s="83"/>
      <c r="B552" s="20"/>
    </row>
    <row r="553">
      <c r="A553" s="83"/>
      <c r="B553" s="20"/>
    </row>
    <row r="554">
      <c r="A554" s="83"/>
      <c r="B554" s="20"/>
    </row>
    <row r="555">
      <c r="A555" s="83"/>
      <c r="B555" s="20"/>
    </row>
    <row r="556">
      <c r="A556" s="83"/>
      <c r="B556" s="20"/>
    </row>
    <row r="557">
      <c r="A557" s="83"/>
      <c r="B557" s="20"/>
    </row>
    <row r="558">
      <c r="A558" s="83"/>
      <c r="B558" s="20"/>
    </row>
    <row r="559">
      <c r="A559" s="83"/>
      <c r="B559" s="20"/>
    </row>
    <row r="560">
      <c r="A560" s="83"/>
      <c r="B560" s="20"/>
    </row>
    <row r="561">
      <c r="A561" s="83"/>
      <c r="B561" s="20"/>
    </row>
    <row r="562">
      <c r="A562" s="83"/>
      <c r="B562" s="20"/>
    </row>
    <row r="563">
      <c r="A563" s="83"/>
      <c r="B563" s="20"/>
    </row>
    <row r="564">
      <c r="A564" s="83"/>
      <c r="B564" s="20"/>
    </row>
    <row r="565">
      <c r="A565" s="83"/>
      <c r="B565" s="20"/>
    </row>
    <row r="566">
      <c r="A566" s="83"/>
      <c r="B566" s="20"/>
    </row>
    <row r="567">
      <c r="A567" s="83"/>
      <c r="B567" s="20"/>
    </row>
    <row r="568">
      <c r="A568" s="83"/>
      <c r="B568" s="20"/>
    </row>
    <row r="569">
      <c r="A569" s="83"/>
      <c r="B569" s="20"/>
    </row>
    <row r="570">
      <c r="A570" s="83"/>
      <c r="B570" s="20"/>
    </row>
    <row r="571">
      <c r="A571" s="83"/>
      <c r="B571" s="20"/>
    </row>
    <row r="572">
      <c r="A572" s="83"/>
      <c r="B572" s="20"/>
    </row>
    <row r="573">
      <c r="A573" s="83"/>
      <c r="B573" s="20"/>
    </row>
    <row r="574">
      <c r="A574" s="83"/>
      <c r="B574" s="20"/>
    </row>
    <row r="575">
      <c r="A575" s="83"/>
      <c r="B575" s="20"/>
    </row>
    <row r="576">
      <c r="A576" s="83"/>
      <c r="B576" s="20"/>
    </row>
    <row r="577">
      <c r="A577" s="83"/>
      <c r="B577" s="20"/>
    </row>
    <row r="578">
      <c r="A578" s="83"/>
      <c r="B578" s="20"/>
    </row>
    <row r="579">
      <c r="A579" s="83"/>
      <c r="B579" s="20"/>
    </row>
    <row r="580">
      <c r="A580" s="83"/>
      <c r="B580" s="20"/>
    </row>
    <row r="581">
      <c r="A581" s="83"/>
      <c r="B581" s="20"/>
    </row>
    <row r="582">
      <c r="A582" s="83"/>
      <c r="B582" s="20"/>
    </row>
    <row r="583">
      <c r="A583" s="83"/>
      <c r="B583" s="20"/>
    </row>
    <row r="584">
      <c r="A584" s="83"/>
      <c r="B584" s="20"/>
    </row>
    <row r="585">
      <c r="A585" s="83"/>
      <c r="B585" s="20"/>
    </row>
    <row r="586">
      <c r="A586" s="83"/>
      <c r="B586" s="20"/>
    </row>
    <row r="587">
      <c r="A587" s="83"/>
      <c r="B587" s="20"/>
    </row>
    <row r="588">
      <c r="A588" s="83"/>
      <c r="B588" s="20"/>
    </row>
    <row r="589">
      <c r="A589" s="83"/>
      <c r="B589" s="20"/>
    </row>
    <row r="590">
      <c r="A590" s="83"/>
      <c r="B590" s="20"/>
    </row>
    <row r="591">
      <c r="A591" s="83"/>
      <c r="B591" s="20"/>
    </row>
    <row r="592">
      <c r="A592" s="83"/>
      <c r="B592" s="20"/>
    </row>
    <row r="593">
      <c r="A593" s="83"/>
      <c r="B593" s="20"/>
    </row>
    <row r="594">
      <c r="A594" s="83"/>
      <c r="B594" s="20"/>
    </row>
    <row r="595">
      <c r="A595" s="83"/>
      <c r="B595" s="20"/>
    </row>
    <row r="596">
      <c r="A596" s="83"/>
      <c r="B596" s="20"/>
    </row>
    <row r="597">
      <c r="A597" s="83"/>
      <c r="B597" s="20"/>
    </row>
    <row r="598">
      <c r="A598" s="83"/>
      <c r="B598" s="20"/>
    </row>
    <row r="599">
      <c r="A599" s="83"/>
      <c r="B599" s="20"/>
    </row>
    <row r="600">
      <c r="A600" s="83"/>
      <c r="B600" s="20"/>
    </row>
    <row r="601">
      <c r="A601" s="83"/>
      <c r="B601" s="20"/>
    </row>
    <row r="602">
      <c r="A602" s="83"/>
      <c r="B602" s="20"/>
    </row>
    <row r="603">
      <c r="A603" s="83"/>
      <c r="B603" s="20"/>
    </row>
    <row r="604">
      <c r="A604" s="83"/>
      <c r="B604" s="20"/>
    </row>
    <row r="605">
      <c r="A605" s="83"/>
      <c r="B605" s="20"/>
    </row>
    <row r="606">
      <c r="A606" s="83"/>
      <c r="B606" s="20"/>
    </row>
    <row r="607">
      <c r="A607" s="83"/>
      <c r="B607" s="20"/>
    </row>
    <row r="608">
      <c r="A608" s="83"/>
      <c r="B608" s="20"/>
    </row>
    <row r="609">
      <c r="A609" s="83"/>
      <c r="B609" s="20"/>
    </row>
    <row r="610">
      <c r="A610" s="83"/>
      <c r="B610" s="20"/>
    </row>
    <row r="611">
      <c r="A611" s="83"/>
      <c r="B611" s="20"/>
    </row>
    <row r="612">
      <c r="A612" s="83"/>
      <c r="B612" s="20"/>
    </row>
    <row r="613">
      <c r="A613" s="83"/>
      <c r="B613" s="20"/>
    </row>
    <row r="614">
      <c r="A614" s="83"/>
      <c r="B614" s="20"/>
    </row>
    <row r="615">
      <c r="A615" s="83"/>
      <c r="B615" s="20"/>
    </row>
    <row r="616">
      <c r="A616" s="83"/>
      <c r="B616" s="20"/>
    </row>
    <row r="617">
      <c r="A617" s="83"/>
      <c r="B617" s="20"/>
    </row>
    <row r="618">
      <c r="A618" s="83"/>
      <c r="B618" s="20"/>
    </row>
    <row r="619">
      <c r="A619" s="83"/>
      <c r="B619" s="20"/>
    </row>
    <row r="620">
      <c r="A620" s="83"/>
      <c r="B620" s="20"/>
    </row>
    <row r="621">
      <c r="A621" s="83"/>
      <c r="B621" s="20"/>
    </row>
    <row r="622">
      <c r="A622" s="83"/>
      <c r="B622" s="20"/>
    </row>
    <row r="623">
      <c r="A623" s="83"/>
      <c r="B623" s="20"/>
    </row>
    <row r="624">
      <c r="A624" s="83"/>
      <c r="B624" s="20"/>
    </row>
    <row r="625">
      <c r="A625" s="83"/>
      <c r="B625" s="20"/>
    </row>
    <row r="626">
      <c r="A626" s="83"/>
      <c r="B626" s="20"/>
    </row>
    <row r="627">
      <c r="A627" s="83"/>
      <c r="B627" s="20"/>
    </row>
    <row r="628">
      <c r="A628" s="83"/>
      <c r="B628" s="20"/>
    </row>
    <row r="629">
      <c r="A629" s="83"/>
      <c r="B629" s="20"/>
    </row>
    <row r="630">
      <c r="A630" s="83"/>
      <c r="B630" s="20"/>
    </row>
    <row r="631">
      <c r="A631" s="83"/>
      <c r="B631" s="20"/>
    </row>
    <row r="632">
      <c r="A632" s="83"/>
      <c r="B632" s="20"/>
    </row>
    <row r="633">
      <c r="A633" s="83"/>
      <c r="B633" s="20"/>
    </row>
    <row r="634">
      <c r="A634" s="83"/>
      <c r="B634" s="20"/>
    </row>
    <row r="635">
      <c r="A635" s="83"/>
      <c r="B635" s="20"/>
    </row>
    <row r="636">
      <c r="A636" s="83"/>
      <c r="B636" s="20"/>
    </row>
    <row r="637">
      <c r="A637" s="83"/>
      <c r="B637" s="20"/>
    </row>
    <row r="638">
      <c r="A638" s="83"/>
      <c r="B638" s="20"/>
    </row>
    <row r="639">
      <c r="A639" s="83"/>
      <c r="B639" s="20"/>
    </row>
    <row r="640">
      <c r="A640" s="83"/>
      <c r="B640" s="20"/>
    </row>
    <row r="641">
      <c r="A641" s="83"/>
      <c r="B641" s="20"/>
    </row>
    <row r="642">
      <c r="A642" s="83"/>
      <c r="B642" s="20"/>
    </row>
    <row r="643">
      <c r="A643" s="83"/>
      <c r="B643" s="20"/>
    </row>
    <row r="644">
      <c r="A644" s="83"/>
      <c r="B644" s="20"/>
    </row>
    <row r="645">
      <c r="A645" s="83"/>
      <c r="B645" s="20"/>
    </row>
    <row r="646">
      <c r="A646" s="83"/>
      <c r="B646" s="20"/>
    </row>
    <row r="647">
      <c r="A647" s="83"/>
      <c r="B647" s="20"/>
    </row>
    <row r="648">
      <c r="A648" s="83"/>
      <c r="B648" s="20"/>
    </row>
    <row r="649">
      <c r="A649" s="83"/>
      <c r="B649" s="20"/>
    </row>
    <row r="650">
      <c r="A650" s="83"/>
      <c r="B650" s="20"/>
    </row>
    <row r="651">
      <c r="A651" s="83"/>
      <c r="B651" s="20"/>
    </row>
    <row r="652">
      <c r="A652" s="83"/>
      <c r="B652" s="20"/>
    </row>
    <row r="653">
      <c r="A653" s="83"/>
      <c r="B653" s="20"/>
    </row>
    <row r="654">
      <c r="A654" s="83"/>
      <c r="B654" s="20"/>
    </row>
    <row r="655">
      <c r="A655" s="83"/>
      <c r="B655" s="20"/>
    </row>
    <row r="656">
      <c r="A656" s="83"/>
      <c r="B656" s="20"/>
    </row>
    <row r="657">
      <c r="A657" s="83"/>
      <c r="B657" s="20"/>
    </row>
    <row r="658">
      <c r="A658" s="83"/>
      <c r="B658" s="20"/>
    </row>
    <row r="659">
      <c r="A659" s="83"/>
      <c r="B659" s="20"/>
    </row>
    <row r="660">
      <c r="A660" s="83"/>
      <c r="B660" s="20"/>
    </row>
    <row r="661">
      <c r="A661" s="83"/>
      <c r="B661" s="20"/>
    </row>
    <row r="662">
      <c r="A662" s="83"/>
      <c r="B662" s="20"/>
    </row>
    <row r="663">
      <c r="A663" s="83"/>
      <c r="B663" s="20"/>
    </row>
    <row r="664">
      <c r="A664" s="83"/>
      <c r="B664" s="20"/>
    </row>
    <row r="665">
      <c r="A665" s="83"/>
      <c r="B665" s="20"/>
    </row>
    <row r="666">
      <c r="A666" s="83"/>
      <c r="B666" s="20"/>
    </row>
    <row r="667">
      <c r="A667" s="83"/>
      <c r="B667" s="20"/>
    </row>
    <row r="668">
      <c r="A668" s="83"/>
      <c r="B668" s="20"/>
    </row>
    <row r="669">
      <c r="A669" s="83"/>
      <c r="B669" s="20"/>
    </row>
    <row r="670">
      <c r="A670" s="83"/>
      <c r="B670" s="20"/>
    </row>
    <row r="671">
      <c r="A671" s="83"/>
      <c r="B671" s="20"/>
    </row>
    <row r="672">
      <c r="A672" s="83"/>
      <c r="B672" s="20"/>
    </row>
    <row r="673">
      <c r="A673" s="83"/>
      <c r="B673" s="20"/>
    </row>
    <row r="674">
      <c r="A674" s="83"/>
      <c r="B674" s="20"/>
    </row>
    <row r="675">
      <c r="A675" s="83"/>
      <c r="B675" s="20"/>
    </row>
    <row r="676">
      <c r="A676" s="83"/>
      <c r="B676" s="20"/>
    </row>
    <row r="677">
      <c r="A677" s="83"/>
      <c r="B677" s="20"/>
    </row>
    <row r="678">
      <c r="A678" s="83"/>
      <c r="B678" s="20"/>
    </row>
    <row r="679">
      <c r="A679" s="83"/>
      <c r="B679" s="20"/>
    </row>
    <row r="680">
      <c r="A680" s="83"/>
      <c r="B680" s="20"/>
    </row>
    <row r="681">
      <c r="A681" s="83"/>
      <c r="B681" s="20"/>
    </row>
    <row r="682">
      <c r="A682" s="83"/>
      <c r="B682" s="20"/>
    </row>
    <row r="683">
      <c r="A683" s="83"/>
      <c r="B683" s="20"/>
    </row>
    <row r="684">
      <c r="A684" s="83"/>
      <c r="B684" s="20"/>
    </row>
    <row r="685">
      <c r="A685" s="83"/>
      <c r="B685" s="20"/>
    </row>
    <row r="686">
      <c r="A686" s="83"/>
      <c r="B686" s="20"/>
    </row>
    <row r="687">
      <c r="A687" s="83"/>
      <c r="B687" s="20"/>
    </row>
    <row r="688">
      <c r="A688" s="83"/>
      <c r="B688" s="20"/>
    </row>
    <row r="689">
      <c r="A689" s="83"/>
      <c r="B689" s="20"/>
    </row>
    <row r="690">
      <c r="A690" s="83"/>
      <c r="B690" s="20"/>
    </row>
    <row r="691">
      <c r="A691" s="83"/>
      <c r="B691" s="20"/>
    </row>
    <row r="692">
      <c r="A692" s="83"/>
      <c r="B692" s="20"/>
    </row>
    <row r="693">
      <c r="A693" s="83"/>
      <c r="B693" s="20"/>
    </row>
    <row r="694">
      <c r="A694" s="83"/>
      <c r="B694" s="20"/>
    </row>
    <row r="695">
      <c r="A695" s="83"/>
      <c r="B695" s="20"/>
    </row>
    <row r="696">
      <c r="A696" s="83"/>
      <c r="B696" s="20"/>
    </row>
    <row r="697">
      <c r="A697" s="83"/>
      <c r="B697" s="20"/>
    </row>
    <row r="698">
      <c r="A698" s="83"/>
      <c r="B698" s="20"/>
    </row>
    <row r="699">
      <c r="A699" s="83"/>
      <c r="B699" s="20"/>
    </row>
    <row r="700">
      <c r="A700" s="83"/>
      <c r="B700" s="20"/>
    </row>
    <row r="701">
      <c r="A701" s="83"/>
      <c r="B701" s="20"/>
    </row>
    <row r="702">
      <c r="A702" s="83"/>
      <c r="B702" s="20"/>
    </row>
    <row r="703">
      <c r="A703" s="83"/>
      <c r="B703" s="20"/>
    </row>
    <row r="704">
      <c r="A704" s="83"/>
      <c r="B704" s="20"/>
    </row>
    <row r="705">
      <c r="A705" s="83"/>
      <c r="B705" s="20"/>
    </row>
    <row r="706">
      <c r="A706" s="83"/>
      <c r="B706" s="20"/>
    </row>
    <row r="707">
      <c r="A707" s="83"/>
      <c r="B707" s="20"/>
    </row>
    <row r="708">
      <c r="A708" s="83"/>
      <c r="B708" s="20"/>
    </row>
    <row r="709">
      <c r="A709" s="83"/>
      <c r="B709" s="20"/>
    </row>
    <row r="710">
      <c r="A710" s="83"/>
      <c r="B710" s="20"/>
    </row>
    <row r="711">
      <c r="A711" s="83"/>
      <c r="B711" s="20"/>
    </row>
    <row r="712">
      <c r="A712" s="83"/>
      <c r="B712" s="20"/>
    </row>
    <row r="713">
      <c r="A713" s="83"/>
      <c r="B713" s="20"/>
    </row>
    <row r="714">
      <c r="A714" s="83"/>
      <c r="B714" s="20"/>
    </row>
    <row r="715">
      <c r="A715" s="83"/>
      <c r="B715" s="20"/>
    </row>
    <row r="716">
      <c r="A716" s="83"/>
      <c r="B716" s="20"/>
    </row>
    <row r="717">
      <c r="A717" s="83"/>
      <c r="B717" s="20"/>
    </row>
    <row r="718">
      <c r="A718" s="83"/>
      <c r="B718" s="20"/>
    </row>
    <row r="719">
      <c r="A719" s="83"/>
      <c r="B719" s="20"/>
    </row>
    <row r="720">
      <c r="A720" s="83"/>
      <c r="B720" s="20"/>
    </row>
    <row r="721">
      <c r="A721" s="83"/>
      <c r="B721" s="20"/>
    </row>
    <row r="722">
      <c r="A722" s="83"/>
      <c r="B722" s="20"/>
    </row>
    <row r="723">
      <c r="A723" s="83"/>
      <c r="B723" s="20"/>
    </row>
    <row r="724">
      <c r="A724" s="83"/>
      <c r="B724" s="20"/>
    </row>
    <row r="725">
      <c r="A725" s="83"/>
      <c r="B725" s="20"/>
    </row>
    <row r="726">
      <c r="A726" s="83"/>
      <c r="B726" s="20"/>
    </row>
    <row r="727">
      <c r="A727" s="83"/>
      <c r="B727" s="20"/>
    </row>
    <row r="728">
      <c r="A728" s="83"/>
      <c r="B728" s="20"/>
    </row>
    <row r="729">
      <c r="A729" s="83"/>
      <c r="B729" s="20"/>
    </row>
    <row r="730">
      <c r="A730" s="83"/>
      <c r="B730" s="20"/>
    </row>
    <row r="731">
      <c r="A731" s="83"/>
      <c r="B731" s="20"/>
    </row>
    <row r="732">
      <c r="A732" s="83"/>
      <c r="B732" s="20"/>
    </row>
    <row r="733">
      <c r="A733" s="83"/>
      <c r="B733" s="20"/>
    </row>
    <row r="734">
      <c r="A734" s="83"/>
      <c r="B734" s="20"/>
    </row>
    <row r="735">
      <c r="A735" s="83"/>
      <c r="B735" s="20"/>
    </row>
    <row r="736">
      <c r="A736" s="83"/>
      <c r="B736" s="20"/>
    </row>
    <row r="737">
      <c r="A737" s="83"/>
      <c r="B737" s="20"/>
    </row>
    <row r="738">
      <c r="A738" s="83"/>
      <c r="B738" s="20"/>
    </row>
    <row r="739">
      <c r="A739" s="83"/>
      <c r="B739" s="20"/>
    </row>
    <row r="740">
      <c r="A740" s="83"/>
      <c r="B740" s="20"/>
    </row>
    <row r="741">
      <c r="A741" s="83"/>
      <c r="B741" s="20"/>
    </row>
    <row r="742">
      <c r="A742" s="83"/>
      <c r="B742" s="20"/>
    </row>
    <row r="743">
      <c r="A743" s="83"/>
      <c r="B743" s="20"/>
    </row>
    <row r="744">
      <c r="A744" s="83"/>
      <c r="B744" s="20"/>
    </row>
    <row r="745">
      <c r="A745" s="83"/>
      <c r="B745" s="20"/>
    </row>
    <row r="746">
      <c r="A746" s="83"/>
      <c r="B746" s="20"/>
    </row>
    <row r="747">
      <c r="A747" s="83"/>
      <c r="B747" s="20"/>
    </row>
    <row r="748">
      <c r="A748" s="83"/>
      <c r="B748" s="20"/>
    </row>
    <row r="749">
      <c r="A749" s="83"/>
      <c r="B749" s="20"/>
    </row>
    <row r="750">
      <c r="A750" s="83"/>
      <c r="B750" s="20"/>
    </row>
    <row r="751">
      <c r="A751" s="83"/>
      <c r="B751" s="20"/>
    </row>
    <row r="752">
      <c r="A752" s="83"/>
      <c r="B752" s="20"/>
    </row>
    <row r="753">
      <c r="A753" s="83"/>
      <c r="B753" s="20"/>
    </row>
    <row r="754">
      <c r="A754" s="83"/>
      <c r="B754" s="20"/>
    </row>
    <row r="755">
      <c r="A755" s="83"/>
      <c r="B755" s="20"/>
    </row>
    <row r="756">
      <c r="A756" s="83"/>
      <c r="B756" s="20"/>
    </row>
    <row r="757">
      <c r="A757" s="83"/>
      <c r="B757" s="20"/>
    </row>
    <row r="758">
      <c r="A758" s="83"/>
      <c r="B758" s="20"/>
    </row>
    <row r="759">
      <c r="A759" s="83"/>
      <c r="B759" s="20"/>
    </row>
    <row r="760">
      <c r="A760" s="83"/>
      <c r="B760" s="20"/>
    </row>
    <row r="761">
      <c r="A761" s="83"/>
      <c r="B761" s="20"/>
    </row>
    <row r="762">
      <c r="A762" s="83"/>
      <c r="B762" s="20"/>
    </row>
    <row r="763">
      <c r="A763" s="83"/>
      <c r="B763" s="20"/>
    </row>
    <row r="764">
      <c r="A764" s="83"/>
      <c r="B764" s="20"/>
    </row>
    <row r="765">
      <c r="A765" s="83"/>
      <c r="B765" s="20"/>
    </row>
    <row r="766">
      <c r="A766" s="83"/>
      <c r="B766" s="20"/>
    </row>
    <row r="767">
      <c r="A767" s="83"/>
      <c r="B767" s="20"/>
    </row>
    <row r="768">
      <c r="A768" s="83"/>
      <c r="B768" s="20"/>
    </row>
    <row r="769">
      <c r="A769" s="83"/>
      <c r="B769" s="20"/>
    </row>
    <row r="770">
      <c r="A770" s="83"/>
      <c r="B770" s="20"/>
    </row>
    <row r="771">
      <c r="A771" s="83"/>
      <c r="B771" s="20"/>
    </row>
    <row r="772">
      <c r="A772" s="83"/>
      <c r="B772" s="20"/>
    </row>
    <row r="773">
      <c r="A773" s="83"/>
      <c r="B773" s="20"/>
    </row>
    <row r="774">
      <c r="A774" s="83"/>
      <c r="B774" s="20"/>
    </row>
    <row r="775">
      <c r="A775" s="83"/>
      <c r="B775" s="20"/>
    </row>
    <row r="776">
      <c r="A776" s="83"/>
      <c r="B776" s="20"/>
    </row>
    <row r="777">
      <c r="A777" s="83"/>
      <c r="B777" s="20"/>
    </row>
    <row r="778">
      <c r="A778" s="83"/>
      <c r="B778" s="20"/>
    </row>
    <row r="779">
      <c r="A779" s="83"/>
      <c r="B779" s="20"/>
    </row>
    <row r="780">
      <c r="A780" s="83"/>
      <c r="B780" s="20"/>
    </row>
    <row r="781">
      <c r="A781" s="83"/>
      <c r="B781" s="20"/>
    </row>
    <row r="782">
      <c r="A782" s="83"/>
      <c r="B782" s="20"/>
    </row>
    <row r="783">
      <c r="A783" s="83"/>
      <c r="B783" s="20"/>
    </row>
    <row r="784">
      <c r="A784" s="83"/>
      <c r="B784" s="20"/>
    </row>
    <row r="785">
      <c r="A785" s="83"/>
      <c r="B785" s="20"/>
    </row>
    <row r="786">
      <c r="A786" s="83"/>
      <c r="B786" s="20"/>
    </row>
    <row r="787">
      <c r="A787" s="83"/>
      <c r="B787" s="20"/>
    </row>
    <row r="788">
      <c r="A788" s="83"/>
      <c r="B788" s="20"/>
    </row>
    <row r="789">
      <c r="A789" s="83"/>
      <c r="B789" s="20"/>
    </row>
    <row r="790">
      <c r="A790" s="83"/>
      <c r="B790" s="20"/>
    </row>
    <row r="791">
      <c r="A791" s="83"/>
      <c r="B791" s="20"/>
    </row>
    <row r="792">
      <c r="A792" s="83"/>
      <c r="B792" s="20"/>
    </row>
    <row r="793">
      <c r="A793" s="83"/>
      <c r="B793" s="20"/>
    </row>
    <row r="794">
      <c r="A794" s="83"/>
      <c r="B794" s="20"/>
    </row>
    <row r="795">
      <c r="A795" s="83"/>
      <c r="B795" s="20"/>
    </row>
    <row r="796">
      <c r="A796" s="83"/>
      <c r="B796" s="20"/>
    </row>
    <row r="797">
      <c r="A797" s="83"/>
      <c r="B797" s="20"/>
    </row>
    <row r="798">
      <c r="A798" s="83"/>
      <c r="B798" s="20"/>
    </row>
    <row r="799">
      <c r="A799" s="83"/>
      <c r="B799" s="20"/>
    </row>
    <row r="800">
      <c r="A800" s="83"/>
      <c r="B800" s="20"/>
    </row>
    <row r="801">
      <c r="A801" s="83"/>
      <c r="B801" s="20"/>
    </row>
    <row r="802">
      <c r="A802" s="83"/>
      <c r="B802" s="20"/>
    </row>
    <row r="803">
      <c r="A803" s="83"/>
      <c r="B803" s="20"/>
    </row>
    <row r="804">
      <c r="A804" s="83"/>
      <c r="B804" s="20"/>
    </row>
    <row r="805">
      <c r="A805" s="83"/>
      <c r="B805" s="20"/>
    </row>
    <row r="806">
      <c r="A806" s="83"/>
      <c r="B806" s="20"/>
    </row>
    <row r="807">
      <c r="A807" s="83"/>
      <c r="B807" s="20"/>
    </row>
    <row r="808">
      <c r="A808" s="83"/>
      <c r="B808" s="20"/>
    </row>
    <row r="809">
      <c r="A809" s="83"/>
      <c r="B809" s="20"/>
    </row>
    <row r="810">
      <c r="A810" s="83"/>
      <c r="B810" s="20"/>
    </row>
    <row r="811">
      <c r="A811" s="83"/>
      <c r="B811" s="20"/>
    </row>
    <row r="812">
      <c r="A812" s="83"/>
      <c r="B812" s="20"/>
    </row>
    <row r="813">
      <c r="A813" s="83"/>
      <c r="B813" s="20"/>
    </row>
    <row r="814">
      <c r="A814" s="83"/>
      <c r="B814" s="20"/>
    </row>
    <row r="815">
      <c r="A815" s="83"/>
      <c r="B815" s="20"/>
    </row>
    <row r="816">
      <c r="A816" s="83"/>
      <c r="B816" s="20"/>
    </row>
    <row r="817">
      <c r="A817" s="83"/>
      <c r="B817" s="20"/>
    </row>
    <row r="818">
      <c r="A818" s="83"/>
      <c r="B818" s="20"/>
    </row>
    <row r="819">
      <c r="A819" s="83"/>
      <c r="B819" s="20"/>
    </row>
    <row r="820">
      <c r="A820" s="83"/>
      <c r="B820" s="20"/>
    </row>
    <row r="821">
      <c r="A821" s="83"/>
      <c r="B821" s="20"/>
    </row>
    <row r="822">
      <c r="A822" s="83"/>
      <c r="B822" s="20"/>
    </row>
    <row r="823">
      <c r="A823" s="83"/>
      <c r="B823" s="20"/>
    </row>
    <row r="824">
      <c r="A824" s="83"/>
      <c r="B824" s="20"/>
    </row>
    <row r="825">
      <c r="A825" s="83"/>
      <c r="B825" s="20"/>
    </row>
    <row r="826">
      <c r="A826" s="83"/>
      <c r="B826" s="20"/>
    </row>
    <row r="827">
      <c r="A827" s="83"/>
      <c r="B827" s="20"/>
    </row>
    <row r="828">
      <c r="A828" s="83"/>
      <c r="B828" s="20"/>
    </row>
    <row r="829">
      <c r="A829" s="83"/>
      <c r="B829" s="20"/>
    </row>
    <row r="830">
      <c r="A830" s="83"/>
      <c r="B830" s="20"/>
    </row>
    <row r="831">
      <c r="A831" s="83"/>
      <c r="B831" s="20"/>
    </row>
    <row r="832">
      <c r="A832" s="83"/>
      <c r="B832" s="20"/>
    </row>
    <row r="833">
      <c r="A833" s="83"/>
      <c r="B833" s="20"/>
    </row>
    <row r="834">
      <c r="A834" s="83"/>
      <c r="B834" s="20"/>
    </row>
    <row r="835">
      <c r="A835" s="83"/>
      <c r="B835" s="20"/>
    </row>
    <row r="836">
      <c r="A836" s="83"/>
      <c r="B836" s="20"/>
    </row>
    <row r="837">
      <c r="A837" s="83"/>
      <c r="B837" s="20"/>
    </row>
    <row r="838">
      <c r="A838" s="83"/>
      <c r="B838" s="20"/>
    </row>
    <row r="839">
      <c r="A839" s="83"/>
      <c r="B839" s="20"/>
    </row>
    <row r="840">
      <c r="A840" s="83"/>
      <c r="B840" s="20"/>
    </row>
    <row r="841">
      <c r="A841" s="83"/>
      <c r="B841" s="20"/>
    </row>
    <row r="842">
      <c r="A842" s="83"/>
      <c r="B842" s="20"/>
    </row>
    <row r="843">
      <c r="A843" s="83"/>
      <c r="B843" s="20"/>
    </row>
    <row r="844">
      <c r="A844" s="83"/>
      <c r="B844" s="20"/>
    </row>
    <row r="845">
      <c r="A845" s="83"/>
      <c r="B845" s="20"/>
    </row>
    <row r="846">
      <c r="A846" s="83"/>
      <c r="B846" s="20"/>
    </row>
    <row r="847">
      <c r="A847" s="83"/>
      <c r="B847" s="20"/>
    </row>
    <row r="848">
      <c r="A848" s="83"/>
      <c r="B848" s="20"/>
    </row>
    <row r="849">
      <c r="A849" s="83"/>
      <c r="B849" s="20"/>
    </row>
    <row r="850">
      <c r="A850" s="83"/>
      <c r="B850" s="20"/>
    </row>
    <row r="851">
      <c r="A851" s="83"/>
      <c r="B851" s="20"/>
    </row>
    <row r="852">
      <c r="A852" s="83"/>
      <c r="B852" s="20"/>
    </row>
    <row r="853">
      <c r="A853" s="83"/>
      <c r="B853" s="20"/>
    </row>
    <row r="854">
      <c r="A854" s="83"/>
      <c r="B854" s="20"/>
    </row>
    <row r="855">
      <c r="A855" s="83"/>
      <c r="B855" s="20"/>
    </row>
    <row r="856">
      <c r="A856" s="83"/>
      <c r="B856" s="20"/>
    </row>
    <row r="857">
      <c r="A857" s="83"/>
      <c r="B857" s="20"/>
    </row>
    <row r="858">
      <c r="A858" s="83"/>
      <c r="B858" s="20"/>
    </row>
    <row r="859">
      <c r="A859" s="83"/>
      <c r="B859" s="20"/>
    </row>
    <row r="860">
      <c r="A860" s="83"/>
      <c r="B860" s="20"/>
    </row>
    <row r="861">
      <c r="A861" s="83"/>
      <c r="B861" s="20"/>
    </row>
    <row r="862">
      <c r="A862" s="83"/>
      <c r="B862" s="20"/>
    </row>
    <row r="863">
      <c r="A863" s="83"/>
      <c r="B863" s="20"/>
    </row>
    <row r="864">
      <c r="A864" s="83"/>
      <c r="B864" s="20"/>
    </row>
    <row r="865">
      <c r="A865" s="83"/>
      <c r="B865" s="20"/>
    </row>
    <row r="866">
      <c r="A866" s="83"/>
      <c r="B866" s="20"/>
    </row>
    <row r="867">
      <c r="A867" s="83"/>
      <c r="B867" s="20"/>
    </row>
    <row r="868">
      <c r="A868" s="83"/>
      <c r="B868" s="20"/>
    </row>
    <row r="869">
      <c r="A869" s="83"/>
      <c r="B869" s="20"/>
    </row>
    <row r="870">
      <c r="A870" s="83"/>
      <c r="B870" s="20"/>
    </row>
    <row r="871">
      <c r="A871" s="83"/>
      <c r="B871" s="20"/>
    </row>
    <row r="872">
      <c r="A872" s="83"/>
      <c r="B872" s="20"/>
    </row>
    <row r="873">
      <c r="A873" s="83"/>
      <c r="B873" s="20"/>
    </row>
    <row r="874">
      <c r="A874" s="83"/>
      <c r="B874" s="20"/>
    </row>
    <row r="875">
      <c r="A875" s="83"/>
      <c r="B875" s="20"/>
    </row>
    <row r="876">
      <c r="A876" s="83"/>
      <c r="B876" s="20"/>
    </row>
    <row r="877">
      <c r="A877" s="83"/>
      <c r="B877" s="20"/>
    </row>
    <row r="878">
      <c r="A878" s="83"/>
      <c r="B878" s="20"/>
    </row>
    <row r="879">
      <c r="A879" s="83"/>
      <c r="B879" s="20"/>
    </row>
    <row r="880">
      <c r="A880" s="83"/>
      <c r="B880" s="20"/>
    </row>
    <row r="881">
      <c r="A881" s="83"/>
      <c r="B881" s="20"/>
    </row>
    <row r="882">
      <c r="A882" s="83"/>
      <c r="B882" s="20"/>
    </row>
    <row r="883">
      <c r="A883" s="83"/>
      <c r="B883" s="20"/>
    </row>
    <row r="884">
      <c r="A884" s="83"/>
      <c r="B884" s="20"/>
    </row>
    <row r="885">
      <c r="A885" s="83"/>
      <c r="B885" s="20"/>
    </row>
    <row r="886">
      <c r="A886" s="83"/>
      <c r="B886" s="20"/>
    </row>
    <row r="887">
      <c r="A887" s="83"/>
      <c r="B887" s="20"/>
    </row>
    <row r="888">
      <c r="A888" s="83"/>
      <c r="B888" s="20"/>
    </row>
    <row r="889">
      <c r="A889" s="83"/>
      <c r="B889" s="20"/>
    </row>
    <row r="890">
      <c r="A890" s="83"/>
      <c r="B890" s="20"/>
    </row>
    <row r="891">
      <c r="A891" s="83"/>
      <c r="B891" s="20"/>
    </row>
    <row r="892">
      <c r="A892" s="83"/>
      <c r="B892" s="20"/>
    </row>
    <row r="893">
      <c r="A893" s="83"/>
      <c r="B893" s="20"/>
    </row>
    <row r="894">
      <c r="A894" s="83"/>
      <c r="B894" s="20"/>
    </row>
    <row r="895">
      <c r="A895" s="83"/>
      <c r="B895" s="20"/>
    </row>
    <row r="896">
      <c r="A896" s="83"/>
      <c r="B896" s="20"/>
    </row>
    <row r="897">
      <c r="A897" s="83"/>
      <c r="B897" s="20"/>
    </row>
    <row r="898">
      <c r="A898" s="83"/>
      <c r="B898" s="20"/>
    </row>
    <row r="899">
      <c r="A899" s="83"/>
      <c r="B899" s="20"/>
    </row>
    <row r="900">
      <c r="A900" s="83"/>
      <c r="B900" s="20"/>
    </row>
    <row r="901">
      <c r="A901" s="83"/>
      <c r="B901" s="20"/>
    </row>
    <row r="902">
      <c r="A902" s="83"/>
      <c r="B902" s="20"/>
    </row>
    <row r="903">
      <c r="A903" s="83"/>
      <c r="B903" s="20"/>
    </row>
    <row r="904">
      <c r="A904" s="83"/>
      <c r="B904" s="20"/>
    </row>
    <row r="905">
      <c r="A905" s="83"/>
      <c r="B905" s="20"/>
    </row>
    <row r="906">
      <c r="A906" s="83"/>
      <c r="B906" s="20"/>
    </row>
    <row r="907">
      <c r="A907" s="83"/>
      <c r="B907" s="20"/>
    </row>
    <row r="908">
      <c r="A908" s="83"/>
      <c r="B908" s="20"/>
    </row>
    <row r="909">
      <c r="A909" s="83"/>
      <c r="B909" s="20"/>
    </row>
    <row r="910">
      <c r="A910" s="83"/>
      <c r="B910" s="20"/>
    </row>
    <row r="911">
      <c r="A911" s="83"/>
      <c r="B911" s="20"/>
    </row>
    <row r="912">
      <c r="A912" s="83"/>
      <c r="B912" s="20"/>
    </row>
    <row r="913">
      <c r="A913" s="83"/>
      <c r="B913" s="20"/>
    </row>
    <row r="914">
      <c r="A914" s="83"/>
      <c r="B914" s="20"/>
    </row>
    <row r="915">
      <c r="A915" s="83"/>
      <c r="B915" s="20"/>
    </row>
    <row r="916">
      <c r="A916" s="83"/>
      <c r="B916" s="20"/>
    </row>
    <row r="917">
      <c r="A917" s="83"/>
      <c r="B917" s="20"/>
    </row>
    <row r="918">
      <c r="A918" s="83"/>
      <c r="B918" s="20"/>
    </row>
    <row r="919">
      <c r="A919" s="83"/>
      <c r="B919" s="20"/>
    </row>
    <row r="920">
      <c r="A920" s="83"/>
      <c r="B920" s="20"/>
    </row>
    <row r="921">
      <c r="A921" s="83"/>
      <c r="B921" s="20"/>
    </row>
    <row r="922">
      <c r="A922" s="83"/>
      <c r="B922" s="20"/>
    </row>
    <row r="923">
      <c r="A923" s="83"/>
      <c r="B923" s="20"/>
    </row>
    <row r="924">
      <c r="A924" s="83"/>
      <c r="B924" s="20"/>
    </row>
    <row r="925">
      <c r="A925" s="83"/>
      <c r="B925" s="20"/>
    </row>
    <row r="926">
      <c r="A926" s="83"/>
      <c r="B926" s="20"/>
    </row>
    <row r="927">
      <c r="A927" s="83"/>
      <c r="B927" s="20"/>
    </row>
    <row r="928">
      <c r="A928" s="83"/>
      <c r="B928" s="20"/>
    </row>
    <row r="929">
      <c r="A929" s="83"/>
      <c r="B929" s="20"/>
    </row>
    <row r="930">
      <c r="A930" s="83"/>
      <c r="B930" s="20"/>
    </row>
    <row r="931">
      <c r="A931" s="83"/>
      <c r="B931" s="20"/>
    </row>
    <row r="932">
      <c r="A932" s="83"/>
      <c r="B932" s="20"/>
    </row>
    <row r="933">
      <c r="A933" s="83"/>
      <c r="B933" s="20"/>
    </row>
    <row r="934">
      <c r="A934" s="83"/>
      <c r="B934" s="20"/>
    </row>
    <row r="935">
      <c r="A935" s="83"/>
      <c r="B935" s="20"/>
    </row>
    <row r="936">
      <c r="A936" s="83"/>
      <c r="B936" s="20"/>
    </row>
    <row r="937">
      <c r="A937" s="83"/>
      <c r="B937" s="20"/>
    </row>
    <row r="938">
      <c r="A938" s="83"/>
      <c r="B938" s="20"/>
    </row>
    <row r="939">
      <c r="A939" s="83"/>
      <c r="B939" s="20"/>
    </row>
    <row r="940">
      <c r="A940" s="83"/>
      <c r="B940" s="20"/>
    </row>
    <row r="941">
      <c r="A941" s="83"/>
      <c r="B941" s="20"/>
    </row>
    <row r="942">
      <c r="A942" s="83"/>
      <c r="B942" s="20"/>
    </row>
    <row r="943">
      <c r="A943" s="83"/>
      <c r="B943" s="20"/>
    </row>
    <row r="944">
      <c r="A944" s="83"/>
      <c r="B944" s="20"/>
    </row>
    <row r="945">
      <c r="A945" s="83"/>
      <c r="B945" s="20"/>
    </row>
    <row r="946">
      <c r="A946" s="83"/>
      <c r="B946" s="20"/>
    </row>
    <row r="947">
      <c r="A947" s="83"/>
      <c r="B947" s="20"/>
    </row>
    <row r="948">
      <c r="A948" s="83"/>
      <c r="B948" s="20"/>
    </row>
    <row r="949">
      <c r="A949" s="83"/>
      <c r="B949" s="20"/>
    </row>
    <row r="950">
      <c r="A950" s="83"/>
      <c r="B950" s="20"/>
    </row>
    <row r="951">
      <c r="A951" s="83"/>
      <c r="B951" s="20"/>
    </row>
    <row r="952">
      <c r="A952" s="83"/>
      <c r="B952" s="20"/>
    </row>
    <row r="953">
      <c r="A953" s="83"/>
      <c r="B953" s="20"/>
    </row>
    <row r="954">
      <c r="A954" s="83"/>
      <c r="B954" s="20"/>
    </row>
    <row r="955">
      <c r="A955" s="83"/>
      <c r="B955" s="20"/>
    </row>
    <row r="956">
      <c r="A956" s="83"/>
      <c r="B956" s="20"/>
    </row>
    <row r="957">
      <c r="A957" s="83"/>
      <c r="B957" s="20"/>
    </row>
    <row r="958">
      <c r="A958" s="83"/>
      <c r="B958" s="20"/>
    </row>
    <row r="959">
      <c r="A959" s="83"/>
      <c r="B959" s="20"/>
    </row>
    <row r="960">
      <c r="A960" s="83"/>
      <c r="B960" s="20"/>
    </row>
    <row r="961">
      <c r="A961" s="83"/>
      <c r="B961" s="20"/>
    </row>
    <row r="962">
      <c r="A962" s="83"/>
      <c r="B962" s="20"/>
    </row>
    <row r="963">
      <c r="A963" s="83"/>
      <c r="B963" s="20"/>
    </row>
    <row r="964">
      <c r="A964" s="83"/>
      <c r="B964" s="20"/>
    </row>
    <row r="965">
      <c r="A965" s="83"/>
      <c r="B965" s="20"/>
    </row>
    <row r="966">
      <c r="A966" s="83"/>
      <c r="B966" s="20"/>
    </row>
    <row r="967">
      <c r="A967" s="83"/>
      <c r="B967" s="20"/>
    </row>
    <row r="968">
      <c r="A968" s="83"/>
      <c r="B968" s="20"/>
    </row>
    <row r="969">
      <c r="A969" s="83"/>
      <c r="B969" s="20"/>
    </row>
    <row r="970">
      <c r="A970" s="83"/>
      <c r="B970" s="20"/>
    </row>
    <row r="971">
      <c r="A971" s="83"/>
      <c r="B971" s="20"/>
    </row>
    <row r="972">
      <c r="A972" s="83"/>
      <c r="B972" s="20"/>
    </row>
    <row r="973">
      <c r="A973" s="83"/>
      <c r="B973" s="20"/>
    </row>
    <row r="974">
      <c r="A974" s="83"/>
      <c r="B974" s="20"/>
    </row>
    <row r="975">
      <c r="A975" s="83"/>
      <c r="B975" s="20"/>
    </row>
    <row r="976">
      <c r="A976" s="83"/>
      <c r="B976" s="20"/>
    </row>
    <row r="977">
      <c r="A977" s="83"/>
      <c r="B977" s="20"/>
    </row>
    <row r="978">
      <c r="A978" s="83"/>
      <c r="B978" s="20"/>
    </row>
    <row r="979">
      <c r="A979" s="83"/>
      <c r="B979" s="20"/>
    </row>
    <row r="980">
      <c r="A980" s="83"/>
      <c r="B980" s="20"/>
    </row>
    <row r="981">
      <c r="A981" s="83"/>
      <c r="B981" s="20"/>
    </row>
    <row r="982">
      <c r="A982" s="83"/>
      <c r="B982" s="20"/>
    </row>
    <row r="983">
      <c r="A983" s="83"/>
      <c r="B983" s="20"/>
    </row>
    <row r="984">
      <c r="A984" s="83"/>
      <c r="B984" s="20"/>
    </row>
    <row r="985">
      <c r="A985" s="83"/>
      <c r="B985" s="20"/>
    </row>
    <row r="986">
      <c r="A986" s="83"/>
      <c r="B986" s="20"/>
    </row>
    <row r="987">
      <c r="A987" s="83"/>
      <c r="B987" s="20"/>
    </row>
    <row r="988">
      <c r="A988" s="83"/>
      <c r="B988" s="20"/>
    </row>
    <row r="989">
      <c r="A989" s="83"/>
      <c r="B989" s="20"/>
    </row>
    <row r="990">
      <c r="A990" s="83"/>
      <c r="B990" s="20"/>
    </row>
    <row r="991">
      <c r="A991" s="83"/>
      <c r="B991" s="20"/>
    </row>
    <row r="992">
      <c r="A992" s="83"/>
      <c r="B992" s="20"/>
    </row>
    <row r="993">
      <c r="A993" s="83"/>
      <c r="B993" s="20"/>
    </row>
    <row r="994">
      <c r="A994" s="83"/>
      <c r="B994" s="20"/>
    </row>
    <row r="995">
      <c r="A995" s="83"/>
      <c r="B995" s="20"/>
    </row>
    <row r="996">
      <c r="A996" s="83"/>
      <c r="B996" s="20"/>
    </row>
    <row r="997">
      <c r="A997" s="83"/>
      <c r="B997" s="20"/>
    </row>
    <row r="998">
      <c r="A998" s="83"/>
      <c r="B998" s="20"/>
    </row>
    <row r="999">
      <c r="A999" s="83"/>
      <c r="B999" s="20"/>
    </row>
    <row r="1000">
      <c r="A1000" s="83"/>
      <c r="B1000" s="20"/>
    </row>
    <row r="1001">
      <c r="A1001" s="83"/>
      <c r="B1001" s="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4.88"/>
    <col customWidth="1" min="3" max="3" width="16.63"/>
  </cols>
  <sheetData>
    <row r="1">
      <c r="A1" s="2" t="s">
        <v>1</v>
      </c>
      <c r="B1" s="98" t="s">
        <v>697</v>
      </c>
      <c r="C1" s="3" t="s">
        <v>6</v>
      </c>
      <c r="D1" s="99"/>
    </row>
    <row r="2">
      <c r="A2" s="100">
        <v>45218.0</v>
      </c>
      <c r="B2" s="101">
        <v>0.0</v>
      </c>
      <c r="C2" s="9" t="s">
        <v>11</v>
      </c>
    </row>
    <row r="3">
      <c r="A3" s="10">
        <v>45221.0</v>
      </c>
      <c r="B3" s="102">
        <v>0.0</v>
      </c>
      <c r="C3" s="9" t="s">
        <v>15</v>
      </c>
    </row>
    <row r="4">
      <c r="A4" s="100">
        <v>45226.0</v>
      </c>
      <c r="B4" s="103">
        <v>40.0</v>
      </c>
      <c r="C4" s="9" t="s">
        <v>11</v>
      </c>
    </row>
    <row r="5">
      <c r="A5" s="100">
        <v>45228.0</v>
      </c>
      <c r="B5" s="103">
        <v>41.0</v>
      </c>
      <c r="C5" s="9" t="s">
        <v>11</v>
      </c>
    </row>
    <row r="6">
      <c r="A6" s="10">
        <v>45233.0</v>
      </c>
      <c r="B6" s="27">
        <v>49.0</v>
      </c>
      <c r="C6" s="9" t="s">
        <v>15</v>
      </c>
    </row>
    <row r="7">
      <c r="A7" s="10">
        <v>45236.0</v>
      </c>
      <c r="B7" s="15">
        <v>51.0</v>
      </c>
      <c r="C7" s="9" t="s">
        <v>18</v>
      </c>
    </row>
    <row r="8">
      <c r="A8" s="100">
        <v>45240.0</v>
      </c>
      <c r="B8" s="104">
        <v>50.0</v>
      </c>
      <c r="C8" s="9" t="s">
        <v>11</v>
      </c>
    </row>
    <row r="9">
      <c r="A9" s="10">
        <v>45247.0</v>
      </c>
      <c r="B9" s="15">
        <v>43.0</v>
      </c>
      <c r="C9" s="9" t="s">
        <v>15</v>
      </c>
    </row>
    <row r="10">
      <c r="A10" s="10">
        <v>45251.0</v>
      </c>
      <c r="B10" s="15">
        <v>47.0</v>
      </c>
      <c r="C10" s="9" t="s">
        <v>18</v>
      </c>
    </row>
    <row r="11">
      <c r="A11" s="100">
        <v>45258.0</v>
      </c>
      <c r="B11" s="105">
        <v>50.0</v>
      </c>
      <c r="C11" s="9" t="s">
        <v>11</v>
      </c>
    </row>
    <row r="12">
      <c r="A12" s="100">
        <v>45265.0</v>
      </c>
      <c r="B12" s="105">
        <v>60.0</v>
      </c>
      <c r="C12" s="9" t="s">
        <v>11</v>
      </c>
    </row>
    <row r="13">
      <c r="A13" s="10">
        <v>45265.0</v>
      </c>
      <c r="B13" s="15">
        <v>40.0</v>
      </c>
      <c r="C13" s="9" t="s">
        <v>15</v>
      </c>
    </row>
    <row r="14">
      <c r="A14" s="10">
        <v>45265.0</v>
      </c>
      <c r="B14" s="15">
        <v>52.0</v>
      </c>
      <c r="C14" s="9" t="s">
        <v>18</v>
      </c>
    </row>
    <row r="15">
      <c r="A15" s="10">
        <v>45265.0</v>
      </c>
      <c r="B15" s="15">
        <v>56.0</v>
      </c>
      <c r="C15" s="9" t="s">
        <v>48</v>
      </c>
    </row>
    <row r="16">
      <c r="A16" s="100">
        <v>45266.0</v>
      </c>
      <c r="B16" s="105">
        <v>51.0</v>
      </c>
      <c r="C16" s="9" t="s">
        <v>11</v>
      </c>
    </row>
    <row r="17">
      <c r="A17" s="10">
        <v>45266.0</v>
      </c>
      <c r="B17" s="15">
        <v>53.0</v>
      </c>
      <c r="C17" s="9" t="s">
        <v>15</v>
      </c>
    </row>
    <row r="18">
      <c r="A18" s="10">
        <v>45266.0</v>
      </c>
      <c r="B18" s="15">
        <v>49.0</v>
      </c>
      <c r="C18" s="9" t="s">
        <v>18</v>
      </c>
    </row>
    <row r="19">
      <c r="A19" s="10">
        <v>45266.0</v>
      </c>
      <c r="B19" s="15">
        <v>51.0</v>
      </c>
      <c r="C19" s="9" t="s">
        <v>48</v>
      </c>
    </row>
    <row r="20">
      <c r="A20" s="100">
        <v>45268.0</v>
      </c>
      <c r="B20" s="105">
        <v>51.0</v>
      </c>
      <c r="C20" s="9" t="s">
        <v>11</v>
      </c>
    </row>
    <row r="21">
      <c r="A21" s="10">
        <v>45268.0</v>
      </c>
      <c r="B21" s="15">
        <v>53.0</v>
      </c>
      <c r="C21" s="9" t="s">
        <v>15</v>
      </c>
    </row>
    <row r="22">
      <c r="A22" s="10">
        <v>45268.0</v>
      </c>
      <c r="B22" s="15">
        <v>49.0</v>
      </c>
      <c r="C22" s="9" t="s">
        <v>18</v>
      </c>
    </row>
    <row r="23">
      <c r="A23" s="10">
        <v>45268.0</v>
      </c>
      <c r="B23" s="15">
        <v>50.0</v>
      </c>
      <c r="C23" s="9" t="s">
        <v>48</v>
      </c>
    </row>
    <row r="24">
      <c r="A24" s="100">
        <v>45272.0</v>
      </c>
      <c r="B24" s="105">
        <v>48.0</v>
      </c>
      <c r="C24" s="9" t="s">
        <v>11</v>
      </c>
    </row>
    <row r="25">
      <c r="A25" s="10">
        <v>45272.0</v>
      </c>
      <c r="B25" s="15">
        <v>56.0</v>
      </c>
      <c r="C25" s="9" t="s">
        <v>15</v>
      </c>
    </row>
    <row r="26">
      <c r="A26" s="10">
        <v>45272.0</v>
      </c>
      <c r="B26" s="15">
        <v>54.0</v>
      </c>
      <c r="C26" s="9" t="s">
        <v>18</v>
      </c>
    </row>
    <row r="27">
      <c r="A27" s="10">
        <v>45272.0</v>
      </c>
      <c r="B27" s="15">
        <v>42.0</v>
      </c>
      <c r="C27" s="9" t="s">
        <v>48</v>
      </c>
    </row>
    <row r="28">
      <c r="A28" s="100">
        <v>45273.0</v>
      </c>
      <c r="B28" s="105">
        <v>42.0</v>
      </c>
      <c r="C28" s="9" t="s">
        <v>11</v>
      </c>
    </row>
    <row r="29">
      <c r="A29" s="10">
        <v>45273.0</v>
      </c>
      <c r="B29" s="15">
        <v>52.0</v>
      </c>
      <c r="C29" s="9" t="s">
        <v>15</v>
      </c>
    </row>
    <row r="30">
      <c r="A30" s="10">
        <v>45273.0</v>
      </c>
      <c r="B30" s="15">
        <v>44.0</v>
      </c>
      <c r="C30" s="9" t="s">
        <v>18</v>
      </c>
    </row>
    <row r="31">
      <c r="A31" s="10">
        <v>45273.0</v>
      </c>
      <c r="B31" s="15">
        <v>56.0</v>
      </c>
      <c r="C31" s="9" t="s">
        <v>48</v>
      </c>
    </row>
    <row r="32">
      <c r="A32" s="100">
        <v>45274.0</v>
      </c>
      <c r="B32" s="105">
        <v>42.0</v>
      </c>
      <c r="C32" s="9" t="s">
        <v>11</v>
      </c>
    </row>
    <row r="33">
      <c r="A33" s="10">
        <v>45274.0</v>
      </c>
      <c r="B33" s="15">
        <v>51.0</v>
      </c>
      <c r="C33" s="9" t="s">
        <v>15</v>
      </c>
    </row>
    <row r="34">
      <c r="A34" s="10">
        <v>45274.0</v>
      </c>
      <c r="B34" s="15">
        <v>48.0</v>
      </c>
      <c r="C34" s="9" t="s">
        <v>18</v>
      </c>
    </row>
    <row r="35">
      <c r="A35" s="10">
        <v>45274.0</v>
      </c>
      <c r="B35" s="15">
        <v>56.0</v>
      </c>
      <c r="C35" s="9" t="s">
        <v>48</v>
      </c>
    </row>
    <row r="36">
      <c r="A36" s="100">
        <v>45275.0</v>
      </c>
      <c r="B36" s="105">
        <v>39.0</v>
      </c>
      <c r="C36" s="9" t="s">
        <v>11</v>
      </c>
    </row>
    <row r="37">
      <c r="A37" s="10">
        <v>45275.0</v>
      </c>
      <c r="B37" s="15">
        <v>55.0</v>
      </c>
      <c r="C37" s="9" t="s">
        <v>15</v>
      </c>
    </row>
    <row r="38">
      <c r="A38" s="10">
        <v>45275.0</v>
      </c>
      <c r="B38" s="15">
        <v>48.0</v>
      </c>
      <c r="C38" s="9" t="s">
        <v>18</v>
      </c>
    </row>
    <row r="39">
      <c r="A39" s="10">
        <v>45275.0</v>
      </c>
      <c r="B39" s="15">
        <v>56.0</v>
      </c>
      <c r="C39" s="9" t="s">
        <v>48</v>
      </c>
    </row>
    <row r="40">
      <c r="A40" s="100">
        <v>45276.0</v>
      </c>
      <c r="B40" s="105">
        <v>55.0</v>
      </c>
      <c r="C40" s="9" t="s">
        <v>11</v>
      </c>
    </row>
    <row r="41">
      <c r="A41" s="10">
        <v>45276.0</v>
      </c>
      <c r="B41" s="15">
        <v>52.0</v>
      </c>
      <c r="C41" s="9" t="s">
        <v>15</v>
      </c>
    </row>
    <row r="42">
      <c r="A42" s="10">
        <v>45276.0</v>
      </c>
      <c r="B42" s="15">
        <v>48.0</v>
      </c>
      <c r="C42" s="9" t="s">
        <v>18</v>
      </c>
    </row>
    <row r="43">
      <c r="A43" s="10">
        <v>45276.0</v>
      </c>
      <c r="B43" s="15">
        <v>53.0</v>
      </c>
      <c r="C43" s="9" t="s">
        <v>48</v>
      </c>
    </row>
    <row r="44">
      <c r="A44" s="106">
        <v>45277.0</v>
      </c>
      <c r="B44" s="105">
        <v>60.0</v>
      </c>
      <c r="C44" s="9" t="s">
        <v>11</v>
      </c>
    </row>
    <row r="45">
      <c r="A45" s="21">
        <v>45277.0</v>
      </c>
      <c r="B45" s="15">
        <v>54.0</v>
      </c>
      <c r="C45" s="9" t="s">
        <v>15</v>
      </c>
    </row>
    <row r="46">
      <c r="A46" s="21">
        <v>45277.0</v>
      </c>
      <c r="B46" s="15">
        <v>50.0</v>
      </c>
      <c r="C46" s="9" t="s">
        <v>18</v>
      </c>
    </row>
    <row r="47">
      <c r="A47" s="21">
        <v>45277.0</v>
      </c>
      <c r="B47" s="15">
        <v>56.0</v>
      </c>
      <c r="C47" s="9" t="s">
        <v>48</v>
      </c>
    </row>
    <row r="48">
      <c r="A48" s="106">
        <v>45278.0</v>
      </c>
      <c r="B48" s="105">
        <v>56.0</v>
      </c>
      <c r="C48" s="9" t="s">
        <v>11</v>
      </c>
    </row>
    <row r="49">
      <c r="A49" s="21">
        <v>45278.0</v>
      </c>
      <c r="B49" s="15">
        <v>54.0</v>
      </c>
      <c r="C49" s="9" t="s">
        <v>15</v>
      </c>
    </row>
    <row r="50">
      <c r="A50" s="21">
        <v>45278.0</v>
      </c>
      <c r="B50" s="15">
        <v>50.0</v>
      </c>
      <c r="C50" s="9" t="s">
        <v>18</v>
      </c>
    </row>
    <row r="51">
      <c r="A51" s="21">
        <v>45278.0</v>
      </c>
      <c r="B51" s="15">
        <v>55.0</v>
      </c>
      <c r="C51" s="9" t="s">
        <v>48</v>
      </c>
    </row>
    <row r="52">
      <c r="A52" s="106">
        <v>45279.0</v>
      </c>
      <c r="B52" s="105">
        <v>58.0</v>
      </c>
      <c r="C52" s="9" t="s">
        <v>11</v>
      </c>
    </row>
    <row r="53">
      <c r="A53" s="21">
        <v>45279.0</v>
      </c>
      <c r="B53" s="15">
        <v>54.0</v>
      </c>
      <c r="C53" s="9" t="s">
        <v>15</v>
      </c>
    </row>
    <row r="54">
      <c r="A54" s="21">
        <v>45279.0</v>
      </c>
      <c r="B54" s="15">
        <v>52.0</v>
      </c>
      <c r="C54" s="9" t="s">
        <v>18</v>
      </c>
    </row>
    <row r="55">
      <c r="A55" s="21">
        <v>45279.0</v>
      </c>
      <c r="B55" s="15">
        <v>62.0</v>
      </c>
      <c r="C55" s="9" t="s">
        <v>48</v>
      </c>
    </row>
    <row r="56">
      <c r="A56" s="106">
        <v>45280.0</v>
      </c>
      <c r="B56" s="105">
        <v>62.0</v>
      </c>
      <c r="C56" s="9" t="s">
        <v>11</v>
      </c>
    </row>
    <row r="57">
      <c r="A57" s="21">
        <v>45280.0</v>
      </c>
      <c r="B57" s="15">
        <v>54.0</v>
      </c>
      <c r="C57" s="9" t="s">
        <v>15</v>
      </c>
    </row>
    <row r="58">
      <c r="A58" s="21">
        <v>45280.0</v>
      </c>
      <c r="B58" s="15">
        <v>56.0</v>
      </c>
      <c r="C58" s="9" t="s">
        <v>18</v>
      </c>
    </row>
    <row r="59">
      <c r="A59" s="21">
        <v>45280.0</v>
      </c>
      <c r="B59" s="15">
        <v>60.0</v>
      </c>
      <c r="C59" s="9" t="s">
        <v>48</v>
      </c>
    </row>
    <row r="60">
      <c r="A60" s="106">
        <v>45281.0</v>
      </c>
      <c r="B60" s="105">
        <v>63.0</v>
      </c>
      <c r="C60" s="9" t="s">
        <v>11</v>
      </c>
    </row>
    <row r="61">
      <c r="A61" s="21">
        <v>45281.0</v>
      </c>
      <c r="B61" s="15">
        <v>59.0</v>
      </c>
      <c r="C61" s="9" t="s">
        <v>15</v>
      </c>
    </row>
    <row r="62">
      <c r="A62" s="21">
        <v>45281.0</v>
      </c>
      <c r="B62" s="15">
        <v>58.0</v>
      </c>
      <c r="C62" s="9" t="s">
        <v>18</v>
      </c>
    </row>
    <row r="63">
      <c r="A63" s="21">
        <v>45281.0</v>
      </c>
      <c r="B63" s="15">
        <v>63.0</v>
      </c>
      <c r="C63" s="9" t="s">
        <v>48</v>
      </c>
    </row>
    <row r="64">
      <c r="A64" s="106">
        <v>45282.0</v>
      </c>
      <c r="B64" s="105">
        <v>56.0</v>
      </c>
      <c r="C64" s="9" t="s">
        <v>11</v>
      </c>
    </row>
    <row r="65">
      <c r="A65" s="21">
        <v>45282.0</v>
      </c>
      <c r="B65" s="15">
        <v>56.0</v>
      </c>
      <c r="C65" s="9" t="s">
        <v>15</v>
      </c>
    </row>
    <row r="66">
      <c r="A66" s="21">
        <v>45282.0</v>
      </c>
      <c r="B66" s="15">
        <v>54.0</v>
      </c>
      <c r="C66" s="9" t="s">
        <v>18</v>
      </c>
    </row>
    <row r="67">
      <c r="A67" s="21">
        <v>45282.0</v>
      </c>
      <c r="B67" s="15">
        <v>58.0</v>
      </c>
      <c r="C67" s="9" t="s">
        <v>48</v>
      </c>
    </row>
    <row r="68">
      <c r="A68" s="21">
        <v>45286.0</v>
      </c>
      <c r="B68" s="15">
        <v>63.0</v>
      </c>
      <c r="C68" s="9" t="s">
        <v>48</v>
      </c>
    </row>
    <row r="69">
      <c r="A69" s="106">
        <v>45286.0</v>
      </c>
      <c r="B69" s="105">
        <v>56.0</v>
      </c>
      <c r="C69" s="9" t="s">
        <v>11</v>
      </c>
    </row>
    <row r="70">
      <c r="A70" s="21">
        <v>45286.0</v>
      </c>
      <c r="B70" s="15">
        <v>58.0</v>
      </c>
      <c r="C70" s="9" t="s">
        <v>15</v>
      </c>
    </row>
    <row r="71">
      <c r="A71" s="21">
        <v>45286.0</v>
      </c>
      <c r="B71" s="15">
        <v>68.0</v>
      </c>
      <c r="C71" s="9" t="s">
        <v>18</v>
      </c>
    </row>
    <row r="72">
      <c r="A72" s="21">
        <v>45286.0</v>
      </c>
      <c r="B72" s="15">
        <v>60.0</v>
      </c>
      <c r="C72" s="9" t="s">
        <v>48</v>
      </c>
    </row>
    <row r="73">
      <c r="A73" s="106">
        <v>45287.0</v>
      </c>
      <c r="B73" s="105">
        <v>52.0</v>
      </c>
      <c r="C73" s="9" t="s">
        <v>11</v>
      </c>
    </row>
    <row r="74">
      <c r="A74" s="21">
        <v>45287.0</v>
      </c>
      <c r="B74" s="15">
        <v>62.0</v>
      </c>
      <c r="C74" s="9" t="s">
        <v>15</v>
      </c>
    </row>
    <row r="75">
      <c r="A75" s="21">
        <v>45287.0</v>
      </c>
      <c r="B75" s="15">
        <v>66.0</v>
      </c>
      <c r="C75" s="9" t="s">
        <v>18</v>
      </c>
    </row>
    <row r="76">
      <c r="A76" s="21">
        <v>45287.0</v>
      </c>
      <c r="B76" s="15">
        <v>62.0</v>
      </c>
      <c r="C76" s="9" t="s">
        <v>48</v>
      </c>
    </row>
    <row r="77">
      <c r="A77" s="106">
        <v>45288.0</v>
      </c>
      <c r="B77" s="105">
        <v>56.0</v>
      </c>
      <c r="C77" s="9" t="s">
        <v>11</v>
      </c>
    </row>
    <row r="78">
      <c r="A78" s="21">
        <v>45288.0</v>
      </c>
      <c r="B78" s="15">
        <v>56.0</v>
      </c>
      <c r="C78" s="9" t="s">
        <v>15</v>
      </c>
    </row>
    <row r="79">
      <c r="A79" s="21">
        <v>45288.0</v>
      </c>
      <c r="B79" s="15">
        <v>64.0</v>
      </c>
      <c r="C79" s="9" t="s">
        <v>18</v>
      </c>
    </row>
    <row r="80">
      <c r="A80" s="21">
        <v>45288.0</v>
      </c>
      <c r="B80" s="15">
        <v>62.0</v>
      </c>
      <c r="C80" s="9" t="s">
        <v>48</v>
      </c>
    </row>
    <row r="81">
      <c r="A81" s="106">
        <v>45289.0</v>
      </c>
      <c r="B81" s="105">
        <v>50.0</v>
      </c>
      <c r="C81" s="9" t="s">
        <v>11</v>
      </c>
    </row>
    <row r="82">
      <c r="A82" s="21">
        <v>45289.0</v>
      </c>
      <c r="B82" s="15">
        <v>60.0</v>
      </c>
      <c r="C82" s="9" t="s">
        <v>15</v>
      </c>
    </row>
    <row r="83">
      <c r="A83" s="21">
        <v>45289.0</v>
      </c>
      <c r="B83" s="15">
        <v>61.0</v>
      </c>
      <c r="C83" s="9" t="s">
        <v>18</v>
      </c>
    </row>
    <row r="84">
      <c r="A84" s="21">
        <v>45289.0</v>
      </c>
      <c r="B84" s="15">
        <v>66.0</v>
      </c>
      <c r="C84" s="9" t="s">
        <v>48</v>
      </c>
    </row>
    <row r="85">
      <c r="A85" s="106">
        <v>45290.0</v>
      </c>
      <c r="B85" s="105">
        <v>50.0</v>
      </c>
      <c r="C85" s="9" t="s">
        <v>11</v>
      </c>
    </row>
    <row r="86">
      <c r="A86" s="21">
        <v>45290.0</v>
      </c>
      <c r="B86" s="15">
        <v>62.0</v>
      </c>
      <c r="C86" s="9" t="s">
        <v>15</v>
      </c>
    </row>
    <row r="87">
      <c r="A87" s="21">
        <v>45290.0</v>
      </c>
      <c r="B87" s="15">
        <v>63.0</v>
      </c>
      <c r="C87" s="9" t="s">
        <v>18</v>
      </c>
    </row>
    <row r="88">
      <c r="A88" s="21">
        <v>45290.0</v>
      </c>
      <c r="B88" s="15">
        <v>60.0</v>
      </c>
      <c r="C88" s="9" t="s">
        <v>48</v>
      </c>
    </row>
    <row r="89">
      <c r="A89" s="106">
        <v>45291.0</v>
      </c>
      <c r="B89" s="105">
        <v>64.0</v>
      </c>
      <c r="C89" s="9" t="s">
        <v>11</v>
      </c>
    </row>
    <row r="90">
      <c r="A90" s="21">
        <v>45291.0</v>
      </c>
      <c r="B90" s="15">
        <v>60.0</v>
      </c>
      <c r="C90" s="9" t="s">
        <v>15</v>
      </c>
    </row>
    <row r="91">
      <c r="A91" s="21">
        <v>45291.0</v>
      </c>
      <c r="B91" s="15">
        <v>62.0</v>
      </c>
      <c r="C91" s="9" t="s">
        <v>18</v>
      </c>
    </row>
    <row r="92">
      <c r="A92" s="21">
        <v>45291.0</v>
      </c>
      <c r="B92" s="15">
        <v>61.0</v>
      </c>
      <c r="C92" s="9" t="s">
        <v>48</v>
      </c>
    </row>
    <row r="93">
      <c r="A93" s="106">
        <v>45293.0</v>
      </c>
      <c r="B93" s="105">
        <v>61.0</v>
      </c>
      <c r="C93" s="9" t="s">
        <v>11</v>
      </c>
    </row>
    <row r="94">
      <c r="A94" s="21">
        <v>45293.0</v>
      </c>
      <c r="B94" s="15">
        <v>62.0</v>
      </c>
      <c r="C94" s="9" t="s">
        <v>15</v>
      </c>
    </row>
    <row r="95">
      <c r="A95" s="21">
        <v>45293.0</v>
      </c>
      <c r="B95" s="15">
        <v>58.0</v>
      </c>
      <c r="C95" s="9" t="s">
        <v>18</v>
      </c>
    </row>
    <row r="96">
      <c r="A96" s="21">
        <v>45293.0</v>
      </c>
      <c r="B96" s="15">
        <v>60.0</v>
      </c>
      <c r="C96" s="9" t="s">
        <v>48</v>
      </c>
    </row>
    <row r="97">
      <c r="A97" s="106">
        <v>45294.0</v>
      </c>
      <c r="B97" s="105">
        <v>50.0</v>
      </c>
      <c r="C97" s="9" t="s">
        <v>11</v>
      </c>
    </row>
    <row r="98">
      <c r="A98" s="21">
        <v>45294.0</v>
      </c>
      <c r="B98" s="15">
        <v>58.0</v>
      </c>
      <c r="C98" s="9" t="s">
        <v>15</v>
      </c>
    </row>
    <row r="99">
      <c r="A99" s="21">
        <v>45294.0</v>
      </c>
      <c r="B99" s="15">
        <v>52.0</v>
      </c>
      <c r="C99" s="9" t="s">
        <v>18</v>
      </c>
    </row>
    <row r="100">
      <c r="A100" s="21">
        <v>45294.0</v>
      </c>
      <c r="B100" s="15">
        <v>54.0</v>
      </c>
      <c r="C100" s="9" t="s">
        <v>48</v>
      </c>
    </row>
    <row r="101">
      <c r="A101" s="108">
        <v>45295.0</v>
      </c>
      <c r="B101" s="105">
        <v>46.0</v>
      </c>
      <c r="C101" s="9" t="s">
        <v>11</v>
      </c>
    </row>
    <row r="102">
      <c r="A102" s="21">
        <v>45295.0</v>
      </c>
      <c r="B102" s="15">
        <v>56.0</v>
      </c>
      <c r="C102" s="9" t="s">
        <v>15</v>
      </c>
    </row>
    <row r="103">
      <c r="A103" s="21">
        <v>45295.0</v>
      </c>
      <c r="B103" s="15">
        <v>47.0</v>
      </c>
      <c r="C103" s="9" t="s">
        <v>18</v>
      </c>
    </row>
    <row r="104">
      <c r="A104" s="21">
        <v>45295.0</v>
      </c>
      <c r="B104" s="15">
        <v>47.0</v>
      </c>
      <c r="C104" s="9" t="s">
        <v>48</v>
      </c>
    </row>
    <row r="105">
      <c r="A105" s="21">
        <v>45296.0</v>
      </c>
      <c r="B105" s="15">
        <v>47.0</v>
      </c>
      <c r="C105" s="9" t="s">
        <v>11</v>
      </c>
    </row>
    <row r="106">
      <c r="A106" s="21">
        <v>45296.0</v>
      </c>
      <c r="B106" s="15">
        <v>56.0</v>
      </c>
      <c r="C106" s="9" t="s">
        <v>15</v>
      </c>
    </row>
    <row r="107">
      <c r="A107" s="21">
        <v>45296.0</v>
      </c>
      <c r="B107" s="15">
        <v>54.0</v>
      </c>
      <c r="C107" s="9" t="s">
        <v>18</v>
      </c>
    </row>
    <row r="108">
      <c r="A108" s="108">
        <v>45296.0</v>
      </c>
      <c r="B108" s="105">
        <v>45.0</v>
      </c>
      <c r="C108" s="9" t="s">
        <v>48</v>
      </c>
    </row>
    <row r="109">
      <c r="A109" s="21">
        <v>45297.0</v>
      </c>
      <c r="B109" s="15">
        <v>54.0</v>
      </c>
      <c r="C109" s="9" t="s">
        <v>11</v>
      </c>
    </row>
    <row r="110">
      <c r="A110" s="21">
        <v>45297.0</v>
      </c>
      <c r="B110" s="15">
        <v>62.0</v>
      </c>
      <c r="C110" s="9" t="s">
        <v>15</v>
      </c>
    </row>
    <row r="111">
      <c r="A111" s="21">
        <v>45297.0</v>
      </c>
      <c r="B111" s="15">
        <v>54.0</v>
      </c>
      <c r="C111" s="9" t="s">
        <v>18</v>
      </c>
    </row>
    <row r="112">
      <c r="A112" s="21">
        <v>45297.0</v>
      </c>
      <c r="B112" s="15">
        <v>62.0</v>
      </c>
      <c r="C112" s="9" t="s">
        <v>48</v>
      </c>
    </row>
    <row r="113">
      <c r="A113" s="108">
        <v>45299.0</v>
      </c>
      <c r="B113" s="105">
        <v>47.0</v>
      </c>
      <c r="C113" s="9" t="s">
        <v>11</v>
      </c>
    </row>
    <row r="114">
      <c r="A114" s="21">
        <v>45299.0</v>
      </c>
      <c r="B114" s="15">
        <v>64.0</v>
      </c>
      <c r="C114" s="9" t="s">
        <v>15</v>
      </c>
    </row>
    <row r="115">
      <c r="A115" s="21">
        <v>45299.0</v>
      </c>
      <c r="B115" s="15">
        <v>62.0</v>
      </c>
      <c r="C115" s="9" t="s">
        <v>18</v>
      </c>
    </row>
    <row r="116">
      <c r="A116" s="21">
        <v>45299.0</v>
      </c>
      <c r="B116" s="15">
        <v>60.0</v>
      </c>
      <c r="C116" s="9" t="s">
        <v>48</v>
      </c>
    </row>
    <row r="117">
      <c r="A117" s="108">
        <v>45300.0</v>
      </c>
      <c r="B117" s="105">
        <v>43.0</v>
      </c>
      <c r="C117" s="9" t="s">
        <v>11</v>
      </c>
    </row>
    <row r="118">
      <c r="A118" s="21">
        <v>45300.0</v>
      </c>
      <c r="B118" s="15">
        <v>64.0</v>
      </c>
      <c r="C118" s="9" t="s">
        <v>15</v>
      </c>
    </row>
    <row r="119">
      <c r="A119" s="21">
        <v>45300.0</v>
      </c>
      <c r="B119" s="15">
        <v>63.0</v>
      </c>
      <c r="C119" s="9" t="s">
        <v>18</v>
      </c>
    </row>
    <row r="120">
      <c r="A120" s="21">
        <v>45300.0</v>
      </c>
      <c r="B120" s="15">
        <v>60.0</v>
      </c>
      <c r="C120" s="9" t="s">
        <v>48</v>
      </c>
    </row>
    <row r="121">
      <c r="A121" s="108">
        <v>45301.0</v>
      </c>
      <c r="B121" s="105">
        <v>53.0</v>
      </c>
      <c r="C121" s="9" t="s">
        <v>11</v>
      </c>
    </row>
    <row r="122">
      <c r="A122" s="21">
        <v>45301.0</v>
      </c>
      <c r="B122" s="15">
        <v>60.0</v>
      </c>
      <c r="C122" s="9" t="s">
        <v>15</v>
      </c>
    </row>
    <row r="123">
      <c r="A123" s="21">
        <v>45301.0</v>
      </c>
      <c r="B123" s="15">
        <v>64.0</v>
      </c>
      <c r="C123" s="9" t="s">
        <v>18</v>
      </c>
    </row>
    <row r="124">
      <c r="A124" s="21">
        <v>45301.0</v>
      </c>
      <c r="B124" s="15">
        <v>69.0</v>
      </c>
      <c r="C124" s="9" t="s">
        <v>48</v>
      </c>
    </row>
    <row r="125">
      <c r="A125" s="109">
        <v>45302.0</v>
      </c>
      <c r="B125" s="110">
        <v>56.0</v>
      </c>
      <c r="C125" s="9" t="s">
        <v>11</v>
      </c>
    </row>
    <row r="126">
      <c r="A126" s="23">
        <v>45302.0</v>
      </c>
      <c r="B126" s="73">
        <v>64.0</v>
      </c>
      <c r="C126" s="9" t="s">
        <v>15</v>
      </c>
    </row>
    <row r="127">
      <c r="A127" s="23">
        <v>45302.0</v>
      </c>
      <c r="B127" s="73">
        <v>61.0</v>
      </c>
      <c r="C127" s="9" t="s">
        <v>18</v>
      </c>
    </row>
    <row r="128">
      <c r="A128" s="23">
        <v>45302.0</v>
      </c>
      <c r="B128" s="73">
        <v>68.0</v>
      </c>
      <c r="C128" s="9" t="s">
        <v>48</v>
      </c>
    </row>
    <row r="129">
      <c r="A129" s="23">
        <v>45303.0</v>
      </c>
      <c r="B129" s="73">
        <v>63.0</v>
      </c>
      <c r="C129" s="9" t="s">
        <v>11</v>
      </c>
    </row>
    <row r="130">
      <c r="A130" s="109">
        <v>45303.0</v>
      </c>
      <c r="B130" s="110">
        <v>63.0</v>
      </c>
      <c r="C130" s="9" t="s">
        <v>15</v>
      </c>
    </row>
    <row r="131">
      <c r="A131" s="23">
        <v>45303.0</v>
      </c>
      <c r="B131" s="73">
        <v>64.0</v>
      </c>
      <c r="C131" s="9" t="s">
        <v>18</v>
      </c>
    </row>
    <row r="132">
      <c r="A132" s="23">
        <v>45303.0</v>
      </c>
      <c r="B132" s="73">
        <v>65.0</v>
      </c>
      <c r="C132" s="9" t="s">
        <v>48</v>
      </c>
    </row>
    <row r="133">
      <c r="A133" s="23">
        <v>45306.0</v>
      </c>
      <c r="B133" s="73">
        <v>59.0</v>
      </c>
      <c r="C133" s="9" t="s">
        <v>67</v>
      </c>
    </row>
    <row r="134">
      <c r="A134" s="23">
        <v>45306.0</v>
      </c>
      <c r="B134" s="73">
        <v>60.0</v>
      </c>
      <c r="C134" s="9" t="s">
        <v>11</v>
      </c>
    </row>
    <row r="135">
      <c r="A135" s="109">
        <v>45306.0</v>
      </c>
      <c r="B135" s="110">
        <v>59.0</v>
      </c>
      <c r="C135" s="9" t="s">
        <v>15</v>
      </c>
    </row>
    <row r="136">
      <c r="A136" s="23">
        <v>45306.0</v>
      </c>
      <c r="B136" s="73">
        <v>60.0</v>
      </c>
      <c r="C136" s="9" t="s">
        <v>18</v>
      </c>
    </row>
    <row r="137">
      <c r="A137" s="23">
        <v>45306.0</v>
      </c>
      <c r="B137" s="73">
        <v>64.0</v>
      </c>
      <c r="C137" s="9" t="s">
        <v>48</v>
      </c>
    </row>
    <row r="138">
      <c r="A138" s="109">
        <v>45307.0</v>
      </c>
      <c r="B138" s="110">
        <v>57.0</v>
      </c>
      <c r="C138" s="9" t="s">
        <v>11</v>
      </c>
    </row>
    <row r="139">
      <c r="A139" s="23">
        <v>45307.0</v>
      </c>
      <c r="B139" s="73">
        <v>60.0</v>
      </c>
      <c r="C139" s="9" t="s">
        <v>15</v>
      </c>
    </row>
    <row r="140">
      <c r="A140" s="23">
        <v>45307.0</v>
      </c>
      <c r="B140" s="73">
        <v>58.0</v>
      </c>
      <c r="C140" s="9" t="s">
        <v>18</v>
      </c>
    </row>
    <row r="141">
      <c r="A141" s="23">
        <v>45307.0</v>
      </c>
      <c r="B141" s="73">
        <v>63.0</v>
      </c>
      <c r="C141" s="9" t="s">
        <v>48</v>
      </c>
    </row>
    <row r="142">
      <c r="A142" s="23">
        <v>45307.0</v>
      </c>
      <c r="B142" s="73">
        <v>60.0</v>
      </c>
      <c r="C142" s="9" t="s">
        <v>67</v>
      </c>
    </row>
    <row r="143">
      <c r="A143" s="109">
        <v>45308.0</v>
      </c>
      <c r="B143" s="110">
        <v>55.0</v>
      </c>
      <c r="C143" s="9" t="s">
        <v>11</v>
      </c>
    </row>
    <row r="144">
      <c r="A144" s="23">
        <v>45308.0</v>
      </c>
      <c r="B144" s="73">
        <v>61.0</v>
      </c>
      <c r="C144" s="9" t="s">
        <v>15</v>
      </c>
    </row>
    <row r="145">
      <c r="A145" s="23">
        <v>45308.0</v>
      </c>
      <c r="B145" s="73">
        <v>62.0</v>
      </c>
      <c r="C145" s="9" t="s">
        <v>18</v>
      </c>
    </row>
    <row r="146">
      <c r="A146" s="23">
        <v>45308.0</v>
      </c>
      <c r="B146" s="73">
        <v>60.0</v>
      </c>
      <c r="C146" s="9" t="s">
        <v>48</v>
      </c>
    </row>
    <row r="147">
      <c r="A147" s="23">
        <v>45308.0</v>
      </c>
      <c r="B147" s="73">
        <v>58.0</v>
      </c>
      <c r="C147" s="9" t="s">
        <v>67</v>
      </c>
    </row>
    <row r="148">
      <c r="A148" s="23">
        <v>45309.0</v>
      </c>
      <c r="B148" s="73">
        <v>58.0</v>
      </c>
      <c r="C148" s="9" t="s">
        <v>11</v>
      </c>
    </row>
    <row r="149">
      <c r="A149" s="23">
        <v>45309.0</v>
      </c>
      <c r="B149" s="73">
        <v>60.0</v>
      </c>
      <c r="C149" s="9" t="s">
        <v>15</v>
      </c>
    </row>
    <row r="150">
      <c r="A150" s="23">
        <v>45309.0</v>
      </c>
      <c r="B150" s="73">
        <v>57.0</v>
      </c>
      <c r="C150" s="9" t="s">
        <v>18</v>
      </c>
    </row>
    <row r="151">
      <c r="A151" s="23">
        <v>45309.0</v>
      </c>
      <c r="B151" s="73">
        <v>54.0</v>
      </c>
      <c r="C151" s="9" t="s">
        <v>48</v>
      </c>
    </row>
    <row r="152">
      <c r="A152" s="23">
        <v>45309.0</v>
      </c>
      <c r="B152" s="73">
        <v>60.0</v>
      </c>
      <c r="C152" s="9" t="s">
        <v>67</v>
      </c>
    </row>
    <row r="153">
      <c r="A153" s="109">
        <v>45309.0</v>
      </c>
      <c r="B153" s="110">
        <v>52.0</v>
      </c>
      <c r="C153" s="9" t="s">
        <v>69</v>
      </c>
    </row>
    <row r="154">
      <c r="A154" s="23">
        <v>45310.0</v>
      </c>
      <c r="B154" s="73">
        <v>52.0</v>
      </c>
      <c r="C154" s="9" t="s">
        <v>11</v>
      </c>
    </row>
    <row r="155">
      <c r="A155" s="23">
        <v>45310.0</v>
      </c>
      <c r="B155" s="73">
        <v>64.0</v>
      </c>
      <c r="C155" s="9" t="s">
        <v>15</v>
      </c>
    </row>
    <row r="156">
      <c r="A156" s="23">
        <v>45310.0</v>
      </c>
      <c r="B156" s="73">
        <v>58.0</v>
      </c>
      <c r="C156" s="9" t="s">
        <v>18</v>
      </c>
    </row>
    <row r="157">
      <c r="A157" s="23">
        <v>45310.0</v>
      </c>
      <c r="B157" s="73">
        <v>60.0</v>
      </c>
      <c r="C157" s="9" t="s">
        <v>48</v>
      </c>
    </row>
    <row r="158">
      <c r="A158" s="23">
        <v>45310.0</v>
      </c>
      <c r="B158" s="73">
        <v>54.0</v>
      </c>
      <c r="C158" s="9" t="s">
        <v>67</v>
      </c>
    </row>
    <row r="159">
      <c r="A159" s="109">
        <v>45310.0</v>
      </c>
      <c r="B159" s="110">
        <v>48.0</v>
      </c>
      <c r="C159" s="9" t="s">
        <v>69</v>
      </c>
    </row>
    <row r="160">
      <c r="A160" s="23">
        <v>45311.0</v>
      </c>
      <c r="B160" s="73">
        <v>48.0</v>
      </c>
      <c r="C160" s="9" t="s">
        <v>11</v>
      </c>
    </row>
    <row r="161">
      <c r="A161" s="23">
        <v>45311.0</v>
      </c>
      <c r="B161" s="73">
        <v>62.0</v>
      </c>
      <c r="C161" s="9" t="s">
        <v>15</v>
      </c>
    </row>
    <row r="162">
      <c r="A162" s="23">
        <v>45311.0</v>
      </c>
      <c r="B162" s="73">
        <v>60.0</v>
      </c>
      <c r="C162" s="9" t="s">
        <v>18</v>
      </c>
    </row>
    <row r="163">
      <c r="A163" s="23">
        <v>45311.0</v>
      </c>
      <c r="B163" s="73">
        <v>60.0</v>
      </c>
      <c r="C163" s="9" t="s">
        <v>48</v>
      </c>
    </row>
    <row r="164">
      <c r="A164" s="23">
        <v>45311.0</v>
      </c>
      <c r="B164" s="73">
        <v>60.0</v>
      </c>
      <c r="C164" s="9" t="s">
        <v>67</v>
      </c>
    </row>
    <row r="165">
      <c r="A165" s="23">
        <v>45311.0</v>
      </c>
      <c r="B165" s="73">
        <v>51.0</v>
      </c>
      <c r="C165" s="9" t="s">
        <v>69</v>
      </c>
    </row>
    <row r="166">
      <c r="A166" s="23">
        <v>45311.0</v>
      </c>
      <c r="B166" s="73">
        <v>57.0</v>
      </c>
      <c r="C166" s="9" t="s">
        <v>70</v>
      </c>
    </row>
    <row r="167">
      <c r="A167" s="109">
        <v>45313.0</v>
      </c>
      <c r="B167" s="110">
        <v>44.0</v>
      </c>
      <c r="C167" s="9" t="s">
        <v>11</v>
      </c>
    </row>
    <row r="168">
      <c r="A168" s="23">
        <v>45313.0</v>
      </c>
      <c r="B168" s="73">
        <v>58.0</v>
      </c>
      <c r="C168" s="9" t="s">
        <v>15</v>
      </c>
    </row>
    <row r="169">
      <c r="A169" s="23">
        <v>45313.0</v>
      </c>
      <c r="B169" s="73">
        <v>56.0</v>
      </c>
      <c r="C169" s="9" t="s">
        <v>18</v>
      </c>
    </row>
    <row r="170">
      <c r="A170" s="23">
        <v>45313.0</v>
      </c>
      <c r="B170" s="73">
        <v>60.0</v>
      </c>
      <c r="C170" s="9" t="s">
        <v>48</v>
      </c>
    </row>
    <row r="171">
      <c r="A171" s="23">
        <v>45313.0</v>
      </c>
      <c r="B171" s="73">
        <v>50.0</v>
      </c>
      <c r="C171" s="9" t="s">
        <v>67</v>
      </c>
    </row>
    <row r="172">
      <c r="A172" s="23">
        <v>45313.0</v>
      </c>
      <c r="B172" s="73">
        <v>44.0</v>
      </c>
      <c r="C172" s="9" t="s">
        <v>69</v>
      </c>
    </row>
    <row r="173">
      <c r="A173" s="23">
        <v>45313.0</v>
      </c>
      <c r="B173" s="73">
        <v>60.0</v>
      </c>
      <c r="C173" s="9" t="s">
        <v>70</v>
      </c>
    </row>
    <row r="174">
      <c r="A174" s="23">
        <v>45314.0</v>
      </c>
      <c r="B174" s="73">
        <v>46.0</v>
      </c>
      <c r="C174" s="9" t="s">
        <v>11</v>
      </c>
    </row>
    <row r="175">
      <c r="A175" s="23">
        <v>45314.0</v>
      </c>
      <c r="B175" s="73">
        <v>58.0</v>
      </c>
      <c r="C175" s="9" t="s">
        <v>15</v>
      </c>
    </row>
    <row r="176">
      <c r="A176" s="23">
        <v>45314.0</v>
      </c>
      <c r="B176" s="73">
        <v>54.0</v>
      </c>
      <c r="C176" s="9" t="s">
        <v>18</v>
      </c>
    </row>
    <row r="177">
      <c r="A177" s="23">
        <v>45314.0</v>
      </c>
      <c r="B177" s="73">
        <v>54.0</v>
      </c>
      <c r="C177" s="9" t="s">
        <v>48</v>
      </c>
    </row>
    <row r="178">
      <c r="A178" s="23">
        <v>45314.0</v>
      </c>
      <c r="B178" s="73">
        <v>42.0</v>
      </c>
      <c r="C178" s="9" t="s">
        <v>67</v>
      </c>
    </row>
    <row r="179">
      <c r="A179" s="23">
        <v>45314.0</v>
      </c>
      <c r="B179" s="73">
        <v>58.0</v>
      </c>
      <c r="C179" s="9" t="s">
        <v>69</v>
      </c>
    </row>
    <row r="180">
      <c r="A180" s="23">
        <v>45314.0</v>
      </c>
      <c r="B180" s="73">
        <v>49.0</v>
      </c>
      <c r="C180" s="9" t="s">
        <v>70</v>
      </c>
    </row>
    <row r="181">
      <c r="A181" s="23">
        <v>45315.0</v>
      </c>
      <c r="B181" s="73">
        <v>40.0</v>
      </c>
      <c r="C181" s="9" t="s">
        <v>11</v>
      </c>
    </row>
    <row r="182">
      <c r="A182" s="23">
        <v>45315.0</v>
      </c>
      <c r="B182" s="73">
        <v>56.0</v>
      </c>
      <c r="C182" s="9" t="s">
        <v>15</v>
      </c>
    </row>
    <row r="183">
      <c r="A183" s="23">
        <v>45315.0</v>
      </c>
      <c r="B183" s="73">
        <v>50.0</v>
      </c>
      <c r="C183" s="9" t="s">
        <v>18</v>
      </c>
    </row>
    <row r="184">
      <c r="A184" s="23">
        <v>45315.0</v>
      </c>
      <c r="B184" s="73">
        <v>58.0</v>
      </c>
      <c r="C184" s="9" t="s">
        <v>48</v>
      </c>
    </row>
    <row r="185">
      <c r="A185" s="23">
        <v>45315.0</v>
      </c>
      <c r="B185" s="73">
        <v>49.0</v>
      </c>
      <c r="C185" s="9" t="s">
        <v>67</v>
      </c>
    </row>
    <row r="186">
      <c r="A186" s="23">
        <v>45315.0</v>
      </c>
      <c r="B186" s="73">
        <v>48.0</v>
      </c>
      <c r="C186" s="9" t="s">
        <v>69</v>
      </c>
    </row>
    <row r="187">
      <c r="A187" s="23">
        <v>45315.0</v>
      </c>
      <c r="B187" s="73">
        <v>50.0</v>
      </c>
      <c r="C187" s="9" t="s">
        <v>70</v>
      </c>
    </row>
    <row r="188">
      <c r="A188" s="23">
        <v>45315.0</v>
      </c>
      <c r="B188" s="73">
        <v>42.0</v>
      </c>
      <c r="C188" s="9" t="s">
        <v>72</v>
      </c>
    </row>
    <row r="189">
      <c r="A189" s="23">
        <v>45316.0</v>
      </c>
      <c r="B189" s="73">
        <v>39.0</v>
      </c>
      <c r="C189" s="9" t="s">
        <v>11</v>
      </c>
    </row>
    <row r="190">
      <c r="A190" s="23">
        <v>45316.0</v>
      </c>
      <c r="B190" s="73">
        <v>57.0</v>
      </c>
      <c r="C190" s="9" t="s">
        <v>15</v>
      </c>
    </row>
    <row r="191">
      <c r="A191" s="23">
        <v>45316.0</v>
      </c>
      <c r="B191" s="73">
        <v>56.0</v>
      </c>
      <c r="C191" s="9" t="s">
        <v>18</v>
      </c>
    </row>
    <row r="192">
      <c r="A192" s="23">
        <v>45316.0</v>
      </c>
      <c r="B192" s="73">
        <v>53.0</v>
      </c>
      <c r="C192" s="9" t="s">
        <v>48</v>
      </c>
    </row>
    <row r="193">
      <c r="A193" s="23">
        <v>45316.0</v>
      </c>
      <c r="B193" s="73">
        <v>49.0</v>
      </c>
      <c r="C193" s="9" t="s">
        <v>67</v>
      </c>
    </row>
    <row r="194">
      <c r="A194" s="23">
        <v>45316.0</v>
      </c>
      <c r="B194" s="73">
        <v>54.0</v>
      </c>
      <c r="C194" s="9" t="s">
        <v>69</v>
      </c>
    </row>
    <row r="195">
      <c r="A195" s="23">
        <v>45316.0</v>
      </c>
      <c r="B195" s="73">
        <v>51.0</v>
      </c>
      <c r="C195" s="9" t="s">
        <v>70</v>
      </c>
    </row>
    <row r="196">
      <c r="A196" s="23">
        <v>45316.0</v>
      </c>
      <c r="B196" s="73">
        <v>58.0</v>
      </c>
      <c r="C196" s="9" t="s">
        <v>72</v>
      </c>
    </row>
    <row r="197">
      <c r="A197" s="23">
        <v>45317.0</v>
      </c>
      <c r="B197" s="73">
        <v>42.0</v>
      </c>
      <c r="C197" s="9" t="s">
        <v>11</v>
      </c>
    </row>
    <row r="198">
      <c r="A198" s="23">
        <v>45317.0</v>
      </c>
      <c r="B198" s="73">
        <v>54.0</v>
      </c>
      <c r="C198" s="9" t="s">
        <v>15</v>
      </c>
    </row>
    <row r="199">
      <c r="A199" s="23">
        <v>45317.0</v>
      </c>
      <c r="B199" s="73">
        <v>54.0</v>
      </c>
      <c r="C199" s="9" t="s">
        <v>18</v>
      </c>
    </row>
    <row r="200">
      <c r="A200" s="23">
        <v>45317.0</v>
      </c>
      <c r="B200" s="73">
        <v>56.0</v>
      </c>
      <c r="C200" s="9" t="s">
        <v>48</v>
      </c>
    </row>
    <row r="201">
      <c r="A201" s="23">
        <v>45317.0</v>
      </c>
      <c r="B201" s="73">
        <v>55.0</v>
      </c>
      <c r="C201" s="9" t="s">
        <v>67</v>
      </c>
    </row>
    <row r="202">
      <c r="A202" s="23">
        <v>45317.0</v>
      </c>
      <c r="B202" s="73">
        <v>54.0</v>
      </c>
      <c r="C202" s="9" t="s">
        <v>69</v>
      </c>
    </row>
    <row r="203">
      <c r="A203" s="23">
        <v>45317.0</v>
      </c>
      <c r="B203" s="73">
        <v>44.0</v>
      </c>
      <c r="C203" s="9" t="s">
        <v>70</v>
      </c>
    </row>
    <row r="204">
      <c r="A204" s="23">
        <v>45317.0</v>
      </c>
      <c r="B204" s="73">
        <v>50.0</v>
      </c>
      <c r="C204" s="9" t="s">
        <v>72</v>
      </c>
    </row>
    <row r="205">
      <c r="A205" s="23">
        <v>45321.0</v>
      </c>
      <c r="B205" s="73">
        <v>44.0</v>
      </c>
      <c r="C205" s="9" t="s">
        <v>11</v>
      </c>
    </row>
    <row r="206">
      <c r="A206" s="23">
        <v>45321.0</v>
      </c>
      <c r="B206" s="73">
        <v>58.0</v>
      </c>
      <c r="C206" s="9" t="s">
        <v>15</v>
      </c>
    </row>
    <row r="207">
      <c r="A207" s="23">
        <v>45321.0</v>
      </c>
      <c r="B207" s="73">
        <v>52.0</v>
      </c>
      <c r="C207" s="9" t="s">
        <v>18</v>
      </c>
    </row>
    <row r="208">
      <c r="A208" s="23">
        <v>45321.0</v>
      </c>
      <c r="B208" s="73">
        <v>58.0</v>
      </c>
      <c r="C208" s="9" t="s">
        <v>48</v>
      </c>
    </row>
    <row r="209">
      <c r="A209" s="23">
        <v>45321.0</v>
      </c>
      <c r="B209" s="73">
        <v>46.0</v>
      </c>
      <c r="C209" s="9" t="s">
        <v>67</v>
      </c>
    </row>
    <row r="210">
      <c r="A210" s="23">
        <v>45321.0</v>
      </c>
      <c r="B210" s="73">
        <v>53.0</v>
      </c>
      <c r="C210" s="9" t="s">
        <v>69</v>
      </c>
    </row>
    <row r="211">
      <c r="A211" s="23">
        <v>45321.0</v>
      </c>
      <c r="B211" s="73">
        <v>50.0</v>
      </c>
      <c r="C211" s="9" t="s">
        <v>70</v>
      </c>
    </row>
    <row r="212">
      <c r="A212" s="23">
        <v>45321.0</v>
      </c>
      <c r="B212" s="73">
        <v>50.0</v>
      </c>
      <c r="C212" s="9" t="s">
        <v>72</v>
      </c>
    </row>
    <row r="213">
      <c r="A213" s="23">
        <v>45323.0</v>
      </c>
      <c r="B213" s="73">
        <v>45.0</v>
      </c>
      <c r="C213" s="9" t="s">
        <v>11</v>
      </c>
    </row>
    <row r="214">
      <c r="A214" s="23">
        <v>45323.0</v>
      </c>
      <c r="B214" s="73">
        <v>52.0</v>
      </c>
      <c r="C214" s="9" t="s">
        <v>15</v>
      </c>
    </row>
    <row r="215">
      <c r="A215" s="23">
        <v>45323.0</v>
      </c>
      <c r="B215" s="73">
        <v>50.0</v>
      </c>
      <c r="C215" s="9" t="s">
        <v>18</v>
      </c>
    </row>
    <row r="216">
      <c r="A216" s="23">
        <v>45323.0</v>
      </c>
      <c r="B216" s="73">
        <v>45.0</v>
      </c>
      <c r="C216" s="9" t="s">
        <v>48</v>
      </c>
    </row>
    <row r="217">
      <c r="A217" s="23">
        <v>45323.0</v>
      </c>
      <c r="B217" s="73">
        <v>60.0</v>
      </c>
      <c r="C217" s="9" t="s">
        <v>67</v>
      </c>
    </row>
    <row r="218">
      <c r="A218" s="23">
        <v>45323.0</v>
      </c>
      <c r="B218" s="73">
        <v>54.0</v>
      </c>
      <c r="C218" s="9" t="s">
        <v>69</v>
      </c>
    </row>
    <row r="219">
      <c r="A219" s="23">
        <v>45323.0</v>
      </c>
      <c r="B219" s="73">
        <v>50.0</v>
      </c>
      <c r="C219" s="9" t="s">
        <v>70</v>
      </c>
    </row>
    <row r="220">
      <c r="A220" s="23">
        <v>45323.0</v>
      </c>
      <c r="B220" s="73">
        <v>50.0</v>
      </c>
      <c r="C220" s="9" t="s">
        <v>72</v>
      </c>
    </row>
    <row r="221">
      <c r="A221" s="23">
        <v>45324.0</v>
      </c>
      <c r="B221" s="73">
        <v>40.0</v>
      </c>
      <c r="C221" s="9" t="s">
        <v>11</v>
      </c>
    </row>
    <row r="222">
      <c r="A222" s="23">
        <v>45324.0</v>
      </c>
      <c r="B222" s="73">
        <v>51.0</v>
      </c>
      <c r="C222" s="9" t="s">
        <v>15</v>
      </c>
    </row>
    <row r="223">
      <c r="A223" s="23">
        <v>45324.0</v>
      </c>
      <c r="B223" s="73">
        <v>51.0</v>
      </c>
      <c r="C223" s="9" t="s">
        <v>18</v>
      </c>
    </row>
    <row r="224">
      <c r="A224" s="23">
        <v>45324.0</v>
      </c>
      <c r="B224" s="73">
        <v>54.0</v>
      </c>
      <c r="C224" s="9" t="s">
        <v>48</v>
      </c>
    </row>
    <row r="225">
      <c r="A225" s="23">
        <v>45324.0</v>
      </c>
      <c r="B225" s="73">
        <v>43.0</v>
      </c>
      <c r="C225" s="9" t="s">
        <v>67</v>
      </c>
    </row>
    <row r="226">
      <c r="A226" s="23">
        <v>45324.0</v>
      </c>
      <c r="B226" s="73">
        <v>46.0</v>
      </c>
      <c r="C226" s="9" t="s">
        <v>67</v>
      </c>
    </row>
    <row r="227">
      <c r="A227" s="23">
        <v>45324.0</v>
      </c>
      <c r="B227" s="73">
        <v>52.0</v>
      </c>
      <c r="C227" s="9" t="s">
        <v>70</v>
      </c>
    </row>
    <row r="228">
      <c r="A228" s="23">
        <v>45324.0</v>
      </c>
      <c r="B228" s="73">
        <v>56.0</v>
      </c>
      <c r="C228" s="9" t="s">
        <v>11</v>
      </c>
    </row>
    <row r="229">
      <c r="A229" s="23">
        <v>45327.0</v>
      </c>
      <c r="B229" s="73">
        <v>40.0</v>
      </c>
      <c r="C229" s="9" t="s">
        <v>15</v>
      </c>
    </row>
    <row r="230">
      <c r="A230" s="23">
        <v>45327.0</v>
      </c>
      <c r="B230" s="73">
        <v>56.0</v>
      </c>
      <c r="C230" s="9" t="s">
        <v>18</v>
      </c>
    </row>
    <row r="231">
      <c r="A231" s="23">
        <v>45327.0</v>
      </c>
      <c r="B231" s="73">
        <v>54.0</v>
      </c>
      <c r="C231" s="9" t="s">
        <v>48</v>
      </c>
    </row>
    <row r="232">
      <c r="A232" s="23">
        <v>45327.0</v>
      </c>
      <c r="B232" s="73">
        <v>60.0</v>
      </c>
      <c r="C232" s="9" t="s">
        <v>67</v>
      </c>
    </row>
    <row r="233">
      <c r="A233" s="23">
        <v>45327.0</v>
      </c>
      <c r="B233" s="73">
        <v>59.0</v>
      </c>
      <c r="C233" s="9" t="s">
        <v>69</v>
      </c>
    </row>
    <row r="234">
      <c r="A234" s="23">
        <v>45327.0</v>
      </c>
      <c r="B234" s="73">
        <v>46.0</v>
      </c>
      <c r="C234" s="9" t="s">
        <v>70</v>
      </c>
    </row>
    <row r="235">
      <c r="A235" s="23">
        <v>45327.0</v>
      </c>
      <c r="B235" s="73">
        <v>43.0</v>
      </c>
      <c r="C235" s="9" t="s">
        <v>72</v>
      </c>
    </row>
    <row r="236">
      <c r="A236" s="23">
        <v>45328.0</v>
      </c>
      <c r="B236" s="73">
        <v>41.0</v>
      </c>
      <c r="C236" s="9" t="s">
        <v>11</v>
      </c>
    </row>
    <row r="237">
      <c r="A237" s="23">
        <v>45328.0</v>
      </c>
      <c r="B237" s="73">
        <v>54.0</v>
      </c>
      <c r="C237" s="9" t="s">
        <v>15</v>
      </c>
    </row>
    <row r="238">
      <c r="A238" s="23">
        <v>45328.0</v>
      </c>
      <c r="B238" s="73">
        <v>55.0</v>
      </c>
      <c r="C238" s="9" t="s">
        <v>18</v>
      </c>
    </row>
    <row r="239">
      <c r="A239" s="23">
        <v>45328.0</v>
      </c>
      <c r="B239" s="73">
        <v>58.0</v>
      </c>
      <c r="C239" s="9" t="s">
        <v>48</v>
      </c>
    </row>
    <row r="240">
      <c r="A240" s="23">
        <v>45328.0</v>
      </c>
      <c r="B240" s="73">
        <v>60.0</v>
      </c>
      <c r="C240" s="9" t="s">
        <v>67</v>
      </c>
    </row>
    <row r="241">
      <c r="A241" s="23">
        <v>45328.0</v>
      </c>
      <c r="B241" s="73">
        <v>55.0</v>
      </c>
      <c r="C241" s="9" t="s">
        <v>69</v>
      </c>
    </row>
    <row r="242">
      <c r="A242" s="23">
        <v>45328.0</v>
      </c>
      <c r="B242" s="73">
        <v>46.0</v>
      </c>
      <c r="C242" s="9" t="s">
        <v>70</v>
      </c>
    </row>
    <row r="243">
      <c r="A243" s="23">
        <v>45328.0</v>
      </c>
      <c r="B243" s="73">
        <v>47.0</v>
      </c>
      <c r="C243" s="9" t="s">
        <v>72</v>
      </c>
    </row>
    <row r="244">
      <c r="A244" s="23">
        <v>45329.0</v>
      </c>
      <c r="B244" s="73">
        <v>42.0</v>
      </c>
      <c r="C244" s="9" t="s">
        <v>11</v>
      </c>
    </row>
    <row r="245">
      <c r="A245" s="23">
        <v>45329.0</v>
      </c>
      <c r="B245" s="73">
        <v>58.0</v>
      </c>
      <c r="C245" s="9" t="s">
        <v>15</v>
      </c>
    </row>
    <row r="246">
      <c r="A246" s="23">
        <v>45329.0</v>
      </c>
      <c r="B246" s="73">
        <v>50.0</v>
      </c>
      <c r="C246" s="9" t="s">
        <v>18</v>
      </c>
    </row>
    <row r="247">
      <c r="A247" s="23">
        <v>45329.0</v>
      </c>
      <c r="B247" s="73">
        <v>52.0</v>
      </c>
      <c r="C247" s="9" t="s">
        <v>48</v>
      </c>
    </row>
    <row r="248">
      <c r="A248" s="23">
        <v>45329.0</v>
      </c>
      <c r="B248" s="73">
        <v>60.0</v>
      </c>
      <c r="C248" s="9" t="s">
        <v>67</v>
      </c>
    </row>
    <row r="249">
      <c r="A249" s="23">
        <v>45329.0</v>
      </c>
      <c r="B249" s="73">
        <v>57.0</v>
      </c>
      <c r="C249" s="9" t="s">
        <v>69</v>
      </c>
    </row>
    <row r="250">
      <c r="A250" s="23">
        <v>45329.0</v>
      </c>
      <c r="B250" s="73">
        <v>43.0</v>
      </c>
      <c r="C250" s="9" t="s">
        <v>70</v>
      </c>
    </row>
    <row r="251">
      <c r="A251" s="23">
        <v>45329.0</v>
      </c>
      <c r="B251" s="73">
        <v>42.0</v>
      </c>
      <c r="C251" s="9" t="s">
        <v>72</v>
      </c>
    </row>
    <row r="252">
      <c r="A252" s="23">
        <v>45330.0</v>
      </c>
      <c r="B252" s="73">
        <v>46.0</v>
      </c>
      <c r="C252" s="9" t="s">
        <v>11</v>
      </c>
    </row>
    <row r="253">
      <c r="A253" s="23">
        <v>45330.0</v>
      </c>
      <c r="B253" s="73">
        <v>60.0</v>
      </c>
      <c r="C253" s="9" t="s">
        <v>15</v>
      </c>
    </row>
    <row r="254">
      <c r="A254" s="23">
        <v>45330.0</v>
      </c>
      <c r="B254" s="73">
        <v>52.0</v>
      </c>
      <c r="C254" s="9" t="s">
        <v>18</v>
      </c>
    </row>
    <row r="255">
      <c r="A255" s="23">
        <v>45330.0</v>
      </c>
      <c r="B255" s="73">
        <v>50.0</v>
      </c>
      <c r="C255" s="9" t="s">
        <v>48</v>
      </c>
    </row>
    <row r="256">
      <c r="A256" s="23">
        <v>45330.0</v>
      </c>
      <c r="B256" s="73">
        <v>60.0</v>
      </c>
      <c r="C256" s="9" t="s">
        <v>67</v>
      </c>
    </row>
    <row r="257">
      <c r="A257" s="23">
        <v>45330.0</v>
      </c>
      <c r="B257" s="73">
        <v>54.0</v>
      </c>
      <c r="C257" s="9" t="s">
        <v>69</v>
      </c>
    </row>
    <row r="258">
      <c r="A258" s="23">
        <v>45330.0</v>
      </c>
      <c r="B258" s="73">
        <v>42.0</v>
      </c>
      <c r="C258" s="9" t="s">
        <v>70</v>
      </c>
    </row>
    <row r="259">
      <c r="A259" s="23">
        <v>45330.0</v>
      </c>
      <c r="B259" s="73">
        <v>43.0</v>
      </c>
      <c r="C259" s="9" t="s">
        <v>72</v>
      </c>
    </row>
    <row r="260">
      <c r="A260" s="23">
        <v>45331.0</v>
      </c>
      <c r="B260" s="73">
        <v>50.0</v>
      </c>
      <c r="C260" s="9" t="s">
        <v>11</v>
      </c>
    </row>
    <row r="261">
      <c r="A261" s="23">
        <v>45331.0</v>
      </c>
      <c r="B261" s="73">
        <v>52.0</v>
      </c>
      <c r="C261" s="9" t="s">
        <v>15</v>
      </c>
    </row>
    <row r="262">
      <c r="A262" s="23">
        <v>45331.0</v>
      </c>
      <c r="B262" s="73">
        <v>51.0</v>
      </c>
      <c r="C262" s="9" t="s">
        <v>18</v>
      </c>
    </row>
    <row r="263">
      <c r="A263" s="23">
        <v>45331.0</v>
      </c>
      <c r="B263" s="73">
        <v>58.0</v>
      </c>
      <c r="C263" s="9" t="s">
        <v>48</v>
      </c>
    </row>
    <row r="264">
      <c r="A264" s="23">
        <v>45331.0</v>
      </c>
      <c r="B264" s="73">
        <v>60.0</v>
      </c>
      <c r="C264" s="9" t="s">
        <v>67</v>
      </c>
    </row>
    <row r="265">
      <c r="A265" s="23">
        <v>45331.0</v>
      </c>
      <c r="B265" s="73">
        <v>56.0</v>
      </c>
      <c r="C265" s="9" t="s">
        <v>69</v>
      </c>
    </row>
    <row r="266">
      <c r="A266" s="23">
        <v>45331.0</v>
      </c>
      <c r="B266" s="73">
        <v>44.0</v>
      </c>
      <c r="C266" s="9" t="s">
        <v>70</v>
      </c>
    </row>
    <row r="267">
      <c r="A267" s="23">
        <v>45331.0</v>
      </c>
      <c r="B267" s="73">
        <v>42.0</v>
      </c>
      <c r="C267" s="9" t="s">
        <v>72</v>
      </c>
    </row>
    <row r="268">
      <c r="A268" s="23">
        <v>45334.0</v>
      </c>
      <c r="B268" s="73">
        <v>43.0</v>
      </c>
      <c r="C268" s="9" t="s">
        <v>11</v>
      </c>
    </row>
    <row r="269">
      <c r="A269" s="23">
        <v>45334.0</v>
      </c>
      <c r="B269" s="73">
        <v>50.0</v>
      </c>
      <c r="C269" s="9" t="s">
        <v>15</v>
      </c>
    </row>
    <row r="270">
      <c r="A270" s="23">
        <v>45334.0</v>
      </c>
      <c r="B270" s="73">
        <v>50.0</v>
      </c>
      <c r="C270" s="9" t="s">
        <v>18</v>
      </c>
    </row>
    <row r="271">
      <c r="A271" s="23">
        <v>45334.0</v>
      </c>
      <c r="B271" s="15">
        <v>51.0</v>
      </c>
      <c r="C271" s="9" t="s">
        <v>48</v>
      </c>
    </row>
    <row r="272">
      <c r="A272" s="23">
        <v>45334.0</v>
      </c>
      <c r="B272" s="15">
        <v>60.0</v>
      </c>
      <c r="C272" s="9" t="s">
        <v>67</v>
      </c>
    </row>
    <row r="273">
      <c r="A273" s="23">
        <v>45334.0</v>
      </c>
      <c r="B273" s="15">
        <v>57.0</v>
      </c>
      <c r="C273" s="9" t="s">
        <v>69</v>
      </c>
    </row>
    <row r="274">
      <c r="A274" s="23">
        <v>45334.0</v>
      </c>
      <c r="B274" s="15">
        <v>41.0</v>
      </c>
      <c r="C274" s="9" t="s">
        <v>70</v>
      </c>
    </row>
    <row r="275">
      <c r="A275" s="23">
        <v>45334.0</v>
      </c>
      <c r="B275" s="15">
        <v>40.0</v>
      </c>
      <c r="C275" s="9" t="s">
        <v>72</v>
      </c>
    </row>
    <row r="276">
      <c r="A276" s="23">
        <v>45336.0</v>
      </c>
      <c r="B276" s="15">
        <v>46.0</v>
      </c>
      <c r="C276" s="9" t="s">
        <v>11</v>
      </c>
    </row>
    <row r="277">
      <c r="A277" s="23">
        <v>45336.0</v>
      </c>
      <c r="B277" s="15">
        <v>50.0</v>
      </c>
      <c r="C277" s="9" t="s">
        <v>15</v>
      </c>
    </row>
    <row r="278">
      <c r="A278" s="23">
        <v>45336.0</v>
      </c>
      <c r="B278" s="15">
        <v>52.0</v>
      </c>
      <c r="C278" s="9" t="s">
        <v>18</v>
      </c>
    </row>
    <row r="279">
      <c r="A279" s="23">
        <v>45336.0</v>
      </c>
      <c r="B279" s="15">
        <v>51.0</v>
      </c>
      <c r="C279" s="9" t="s">
        <v>48</v>
      </c>
    </row>
    <row r="280">
      <c r="A280" s="23">
        <v>45336.0</v>
      </c>
      <c r="B280" s="15">
        <v>61.0</v>
      </c>
      <c r="C280" s="9" t="s">
        <v>67</v>
      </c>
    </row>
    <row r="281">
      <c r="A281" s="23">
        <v>45336.0</v>
      </c>
      <c r="B281" s="15">
        <v>58.0</v>
      </c>
      <c r="C281" s="9" t="s">
        <v>69</v>
      </c>
    </row>
    <row r="282">
      <c r="A282" s="23">
        <v>45336.0</v>
      </c>
      <c r="B282" s="15">
        <v>39.0</v>
      </c>
      <c r="C282" s="9" t="s">
        <v>70</v>
      </c>
    </row>
    <row r="283">
      <c r="A283" s="23">
        <v>45336.0</v>
      </c>
      <c r="B283" s="15">
        <v>41.0</v>
      </c>
      <c r="C283" s="9" t="s">
        <v>72</v>
      </c>
    </row>
    <row r="284">
      <c r="A284" s="23">
        <v>45337.0</v>
      </c>
      <c r="B284" s="15">
        <v>43.0</v>
      </c>
      <c r="C284" s="9" t="s">
        <v>11</v>
      </c>
    </row>
    <row r="285">
      <c r="A285" s="23">
        <v>45337.0</v>
      </c>
      <c r="B285" s="15">
        <v>50.0</v>
      </c>
      <c r="C285" s="9" t="s">
        <v>15</v>
      </c>
    </row>
    <row r="286">
      <c r="A286" s="23">
        <v>45337.0</v>
      </c>
      <c r="B286" s="15">
        <v>50.0</v>
      </c>
      <c r="C286" s="9" t="s">
        <v>18</v>
      </c>
    </row>
    <row r="287">
      <c r="A287" s="23">
        <v>45337.0</v>
      </c>
      <c r="B287" s="15">
        <v>50.0</v>
      </c>
      <c r="C287" s="9" t="s">
        <v>48</v>
      </c>
    </row>
    <row r="288">
      <c r="A288" s="23">
        <v>45337.0</v>
      </c>
      <c r="B288" s="15">
        <v>59.0</v>
      </c>
      <c r="C288" s="9" t="s">
        <v>67</v>
      </c>
    </row>
    <row r="289">
      <c r="A289" s="23">
        <v>45337.0</v>
      </c>
      <c r="B289" s="15">
        <v>53.0</v>
      </c>
      <c r="C289" s="9" t="s">
        <v>69</v>
      </c>
    </row>
    <row r="290">
      <c r="A290" s="23">
        <v>45337.0</v>
      </c>
      <c r="B290" s="15">
        <v>36.0</v>
      </c>
      <c r="C290" s="9" t="s">
        <v>70</v>
      </c>
    </row>
    <row r="291">
      <c r="A291" s="23">
        <v>45337.0</v>
      </c>
      <c r="B291" s="15">
        <v>41.0</v>
      </c>
      <c r="C291" s="9" t="s">
        <v>72</v>
      </c>
    </row>
    <row r="292">
      <c r="A292" s="23">
        <v>45338.0</v>
      </c>
      <c r="B292" s="15">
        <v>40.0</v>
      </c>
      <c r="C292" s="9" t="s">
        <v>11</v>
      </c>
    </row>
    <row r="293">
      <c r="A293" s="23">
        <v>45338.0</v>
      </c>
      <c r="B293" s="15">
        <v>50.0</v>
      </c>
      <c r="C293" s="9" t="s">
        <v>15</v>
      </c>
    </row>
    <row r="294">
      <c r="A294" s="23">
        <v>45338.0</v>
      </c>
      <c r="B294" s="15">
        <v>48.0</v>
      </c>
      <c r="C294" s="9" t="s">
        <v>18</v>
      </c>
    </row>
    <row r="295">
      <c r="A295" s="23">
        <v>45338.0</v>
      </c>
      <c r="B295" s="15">
        <v>43.0</v>
      </c>
      <c r="C295" s="9" t="s">
        <v>48</v>
      </c>
    </row>
    <row r="296">
      <c r="A296" s="23">
        <v>45338.0</v>
      </c>
      <c r="B296" s="15">
        <v>57.0</v>
      </c>
      <c r="C296" s="9" t="s">
        <v>67</v>
      </c>
    </row>
    <row r="297">
      <c r="A297" s="23">
        <v>45338.0</v>
      </c>
      <c r="B297" s="15">
        <v>54.0</v>
      </c>
      <c r="C297" s="9" t="s">
        <v>69</v>
      </c>
    </row>
    <row r="298">
      <c r="A298" s="23">
        <v>45338.0</v>
      </c>
      <c r="B298" s="15">
        <v>36.0</v>
      </c>
      <c r="C298" s="9" t="s">
        <v>70</v>
      </c>
    </row>
    <row r="299">
      <c r="A299" s="23">
        <v>45338.0</v>
      </c>
      <c r="B299" s="15">
        <v>36.0</v>
      </c>
      <c r="C299" s="9" t="s">
        <v>72</v>
      </c>
    </row>
    <row r="300">
      <c r="A300" s="23">
        <v>45341.0</v>
      </c>
      <c r="B300" s="15">
        <v>38.0</v>
      </c>
      <c r="C300" s="9" t="s">
        <v>11</v>
      </c>
    </row>
    <row r="301">
      <c r="A301" s="23">
        <v>45341.0</v>
      </c>
      <c r="B301" s="73">
        <v>48.0</v>
      </c>
      <c r="C301" s="9" t="s">
        <v>15</v>
      </c>
    </row>
    <row r="302">
      <c r="A302" s="23">
        <v>45341.0</v>
      </c>
      <c r="B302" s="73">
        <v>51.0</v>
      </c>
      <c r="C302" s="9" t="s">
        <v>18</v>
      </c>
    </row>
    <row r="303">
      <c r="A303" s="23">
        <v>45341.0</v>
      </c>
      <c r="B303" s="73">
        <v>55.0</v>
      </c>
      <c r="C303" s="9" t="s">
        <v>48</v>
      </c>
    </row>
    <row r="304">
      <c r="A304" s="23">
        <v>45341.0</v>
      </c>
      <c r="B304" s="73">
        <v>57.0</v>
      </c>
      <c r="C304" s="9" t="s">
        <v>67</v>
      </c>
    </row>
    <row r="305">
      <c r="A305" s="23">
        <v>45341.0</v>
      </c>
      <c r="B305" s="73">
        <v>58.0</v>
      </c>
      <c r="C305" s="9" t="s">
        <v>69</v>
      </c>
    </row>
    <row r="306">
      <c r="A306" s="23">
        <v>45341.0</v>
      </c>
      <c r="B306" s="15">
        <v>38.0</v>
      </c>
      <c r="C306" s="9" t="s">
        <v>70</v>
      </c>
    </row>
    <row r="307">
      <c r="A307" s="23">
        <v>45341.0</v>
      </c>
      <c r="B307" s="15">
        <v>38.0</v>
      </c>
      <c r="C307" s="9" t="s">
        <v>72</v>
      </c>
    </row>
    <row r="308">
      <c r="A308" s="23">
        <v>45342.0</v>
      </c>
      <c r="B308" s="15">
        <v>40.0</v>
      </c>
      <c r="C308" s="9" t="s">
        <v>11</v>
      </c>
      <c r="F308" s="106"/>
      <c r="G308" s="105"/>
    </row>
    <row r="309">
      <c r="A309" s="23">
        <v>45342.0</v>
      </c>
      <c r="B309" s="15">
        <v>50.0</v>
      </c>
      <c r="C309" s="9" t="s">
        <v>15</v>
      </c>
    </row>
    <row r="310">
      <c r="A310" s="23">
        <v>45342.0</v>
      </c>
      <c r="B310" s="15">
        <v>48.0</v>
      </c>
      <c r="C310" s="9" t="s">
        <v>18</v>
      </c>
    </row>
    <row r="311">
      <c r="A311" s="23">
        <v>45342.0</v>
      </c>
      <c r="B311" s="15">
        <v>37.0</v>
      </c>
      <c r="C311" s="9" t="s">
        <v>48</v>
      </c>
    </row>
    <row r="312">
      <c r="A312" s="23">
        <v>45342.0</v>
      </c>
      <c r="B312" s="15">
        <v>56.0</v>
      </c>
      <c r="C312" s="9" t="s">
        <v>67</v>
      </c>
    </row>
    <row r="313">
      <c r="A313" s="23">
        <v>45342.0</v>
      </c>
      <c r="B313" s="15">
        <v>61.0</v>
      </c>
      <c r="C313" s="9" t="s">
        <v>69</v>
      </c>
    </row>
    <row r="314">
      <c r="A314" s="23">
        <v>45342.0</v>
      </c>
      <c r="B314" s="15">
        <v>38.0</v>
      </c>
      <c r="C314" s="9" t="s">
        <v>70</v>
      </c>
    </row>
    <row r="315">
      <c r="A315" s="23">
        <v>45342.0</v>
      </c>
      <c r="B315" s="15">
        <v>38.0</v>
      </c>
      <c r="C315" s="9" t="s">
        <v>72</v>
      </c>
    </row>
    <row r="316">
      <c r="A316" s="23">
        <v>45343.0</v>
      </c>
      <c r="B316" s="15">
        <v>40.0</v>
      </c>
      <c r="C316" s="9" t="s">
        <v>11</v>
      </c>
    </row>
    <row r="317">
      <c r="A317" s="23">
        <v>45343.0</v>
      </c>
      <c r="B317" s="15">
        <v>46.0</v>
      </c>
      <c r="C317" s="9" t="s">
        <v>15</v>
      </c>
    </row>
    <row r="318">
      <c r="A318" s="23">
        <v>45343.0</v>
      </c>
      <c r="B318" s="15">
        <v>48.0</v>
      </c>
      <c r="C318" s="9" t="s">
        <v>18</v>
      </c>
    </row>
    <row r="319">
      <c r="A319" s="23">
        <v>45343.0</v>
      </c>
      <c r="B319" s="15">
        <v>47.0</v>
      </c>
      <c r="C319" s="9" t="s">
        <v>48</v>
      </c>
    </row>
    <row r="320">
      <c r="A320" s="23">
        <v>45343.0</v>
      </c>
      <c r="B320" s="15">
        <v>62.0</v>
      </c>
      <c r="C320" s="9" t="s">
        <v>67</v>
      </c>
    </row>
    <row r="321">
      <c r="A321" s="23">
        <v>45343.0</v>
      </c>
      <c r="B321" s="15">
        <v>62.0</v>
      </c>
      <c r="C321" s="9" t="s">
        <v>69</v>
      </c>
    </row>
    <row r="322">
      <c r="A322" s="23">
        <v>45343.0</v>
      </c>
      <c r="B322" s="15">
        <v>44.0</v>
      </c>
      <c r="C322" s="9" t="s">
        <v>70</v>
      </c>
    </row>
    <row r="323">
      <c r="A323" s="23">
        <v>45343.0</v>
      </c>
      <c r="B323" s="15">
        <v>42.0</v>
      </c>
      <c r="C323" s="9" t="s">
        <v>72</v>
      </c>
    </row>
    <row r="324">
      <c r="A324" s="23">
        <v>45344.0</v>
      </c>
      <c r="B324" s="15">
        <v>40.0</v>
      </c>
      <c r="C324" s="9" t="s">
        <v>11</v>
      </c>
    </row>
    <row r="325">
      <c r="A325" s="23">
        <v>45344.0</v>
      </c>
      <c r="B325" s="15">
        <v>46.0</v>
      </c>
      <c r="C325" s="9" t="s">
        <v>15</v>
      </c>
    </row>
    <row r="326">
      <c r="A326" s="23">
        <v>45344.0</v>
      </c>
      <c r="B326" s="15">
        <v>48.0</v>
      </c>
      <c r="C326" s="9" t="s">
        <v>18</v>
      </c>
    </row>
    <row r="327">
      <c r="A327" s="23">
        <v>45344.0</v>
      </c>
      <c r="B327" s="15">
        <v>47.0</v>
      </c>
      <c r="C327" s="9" t="s">
        <v>48</v>
      </c>
    </row>
    <row r="328">
      <c r="A328" s="23">
        <v>45344.0</v>
      </c>
      <c r="B328" s="15">
        <v>62.0</v>
      </c>
      <c r="C328" s="9" t="s">
        <v>67</v>
      </c>
    </row>
    <row r="329">
      <c r="A329" s="23">
        <v>45344.0</v>
      </c>
      <c r="B329" s="15">
        <v>62.0</v>
      </c>
      <c r="C329" s="9" t="s">
        <v>69</v>
      </c>
    </row>
    <row r="330">
      <c r="A330" s="23">
        <v>45344.0</v>
      </c>
      <c r="B330" s="105">
        <v>44.0</v>
      </c>
      <c r="C330" s="9" t="s">
        <v>70</v>
      </c>
    </row>
    <row r="331">
      <c r="A331" s="23">
        <v>45344.0</v>
      </c>
      <c r="B331" s="15">
        <v>42.0</v>
      </c>
      <c r="C331" s="9" t="s">
        <v>72</v>
      </c>
    </row>
    <row r="332">
      <c r="A332" s="23">
        <v>45345.0</v>
      </c>
      <c r="B332" s="15">
        <v>40.0</v>
      </c>
      <c r="C332" s="9" t="s">
        <v>11</v>
      </c>
    </row>
    <row r="333">
      <c r="A333" s="23">
        <v>45345.0</v>
      </c>
      <c r="B333" s="15">
        <v>42.0</v>
      </c>
      <c r="C333" s="9" t="s">
        <v>15</v>
      </c>
    </row>
    <row r="334">
      <c r="A334" s="23">
        <v>45345.0</v>
      </c>
      <c r="B334" s="15">
        <v>45.0</v>
      </c>
      <c r="C334" s="9" t="s">
        <v>18</v>
      </c>
    </row>
    <row r="335">
      <c r="A335" s="23">
        <v>45345.0</v>
      </c>
      <c r="B335" s="73">
        <v>48.0</v>
      </c>
      <c r="C335" s="9" t="s">
        <v>48</v>
      </c>
    </row>
    <row r="336">
      <c r="A336" s="23">
        <v>45345.0</v>
      </c>
      <c r="B336" s="73">
        <v>59.0</v>
      </c>
      <c r="C336" s="9" t="s">
        <v>67</v>
      </c>
    </row>
    <row r="337">
      <c r="A337" s="23">
        <v>45345.0</v>
      </c>
      <c r="B337" s="73">
        <v>62.0</v>
      </c>
      <c r="C337" s="9" t="s">
        <v>69</v>
      </c>
    </row>
    <row r="338">
      <c r="A338" s="23">
        <v>45345.0</v>
      </c>
      <c r="B338" s="73">
        <v>51.0</v>
      </c>
      <c r="C338" s="9" t="s">
        <v>70</v>
      </c>
    </row>
    <row r="339">
      <c r="A339" s="23">
        <v>45345.0</v>
      </c>
      <c r="B339" s="73">
        <v>52.0</v>
      </c>
      <c r="C339" s="9" t="s">
        <v>72</v>
      </c>
    </row>
    <row r="340">
      <c r="A340" s="23">
        <v>45348.0</v>
      </c>
      <c r="B340" s="73">
        <v>48.0</v>
      </c>
      <c r="C340" s="9" t="s">
        <v>11</v>
      </c>
    </row>
    <row r="341">
      <c r="A341" s="23">
        <v>45348.0</v>
      </c>
      <c r="B341" s="73">
        <v>46.0</v>
      </c>
      <c r="C341" s="9" t="s">
        <v>15</v>
      </c>
    </row>
    <row r="342">
      <c r="A342" s="23">
        <v>45348.0</v>
      </c>
      <c r="B342" s="73">
        <v>40.0</v>
      </c>
      <c r="C342" s="9" t="s">
        <v>18</v>
      </c>
    </row>
    <row r="343">
      <c r="A343" s="23">
        <v>45348.0</v>
      </c>
      <c r="B343" s="73">
        <v>46.0</v>
      </c>
      <c r="C343" s="9" t="s">
        <v>48</v>
      </c>
    </row>
    <row r="344">
      <c r="A344" s="23">
        <v>45348.0</v>
      </c>
      <c r="B344" s="73">
        <v>56.0</v>
      </c>
      <c r="C344" s="9" t="s">
        <v>67</v>
      </c>
    </row>
    <row r="345">
      <c r="A345" s="23">
        <v>45348.0</v>
      </c>
      <c r="B345" s="73">
        <v>60.0</v>
      </c>
      <c r="C345" s="9" t="s">
        <v>69</v>
      </c>
    </row>
    <row r="346">
      <c r="A346" s="23">
        <v>45348.0</v>
      </c>
      <c r="B346" s="73">
        <v>60.0</v>
      </c>
      <c r="C346" s="9" t="s">
        <v>70</v>
      </c>
    </row>
    <row r="347">
      <c r="A347" s="23">
        <v>45348.0</v>
      </c>
      <c r="B347" s="73">
        <v>48.0</v>
      </c>
      <c r="C347" s="9" t="s">
        <v>72</v>
      </c>
    </row>
    <row r="348">
      <c r="A348" s="23">
        <v>45349.0</v>
      </c>
      <c r="B348" s="73">
        <v>43.0</v>
      </c>
      <c r="C348" s="9" t="s">
        <v>11</v>
      </c>
    </row>
    <row r="349">
      <c r="A349" s="23">
        <v>45349.0</v>
      </c>
      <c r="B349" s="73">
        <v>46.0</v>
      </c>
      <c r="C349" s="9" t="s">
        <v>15</v>
      </c>
    </row>
    <row r="350">
      <c r="A350" s="23">
        <v>45349.0</v>
      </c>
      <c r="B350" s="73">
        <v>40.0</v>
      </c>
      <c r="C350" s="9" t="s">
        <v>18</v>
      </c>
    </row>
    <row r="351">
      <c r="A351" s="23">
        <v>45349.0</v>
      </c>
      <c r="B351" s="73">
        <v>46.0</v>
      </c>
      <c r="C351" s="9" t="s">
        <v>48</v>
      </c>
    </row>
    <row r="352">
      <c r="A352" s="23">
        <v>45349.0</v>
      </c>
      <c r="B352" s="73">
        <v>56.0</v>
      </c>
      <c r="C352" s="9" t="s">
        <v>67</v>
      </c>
    </row>
    <row r="353">
      <c r="A353" s="23">
        <v>45349.0</v>
      </c>
      <c r="B353" s="73">
        <v>60.0</v>
      </c>
      <c r="C353" s="9" t="s">
        <v>69</v>
      </c>
    </row>
    <row r="354">
      <c r="A354" s="23">
        <v>45349.0</v>
      </c>
      <c r="B354" s="73">
        <v>59.0</v>
      </c>
      <c r="C354" s="9" t="s">
        <v>70</v>
      </c>
    </row>
    <row r="355">
      <c r="A355" s="23">
        <v>45349.0</v>
      </c>
      <c r="B355" s="73">
        <v>57.0</v>
      </c>
      <c r="C355" s="9" t="s">
        <v>72</v>
      </c>
    </row>
    <row r="356">
      <c r="A356" s="23">
        <v>45350.0</v>
      </c>
      <c r="B356" s="73">
        <v>48.0</v>
      </c>
      <c r="C356" s="9" t="s">
        <v>11</v>
      </c>
    </row>
    <row r="357">
      <c r="A357" s="23">
        <v>45350.0</v>
      </c>
      <c r="B357" s="73">
        <v>46.0</v>
      </c>
      <c r="C357" s="9" t="s">
        <v>15</v>
      </c>
    </row>
    <row r="358">
      <c r="A358" s="23">
        <v>45350.0</v>
      </c>
      <c r="B358" s="73">
        <v>40.0</v>
      </c>
      <c r="C358" s="9" t="s">
        <v>18</v>
      </c>
    </row>
    <row r="359">
      <c r="A359" s="23">
        <v>45350.0</v>
      </c>
      <c r="B359" s="73">
        <v>46.0</v>
      </c>
      <c r="C359" s="9" t="s">
        <v>48</v>
      </c>
    </row>
    <row r="360">
      <c r="A360" s="23">
        <v>45350.0</v>
      </c>
      <c r="B360" s="73">
        <v>56.0</v>
      </c>
      <c r="C360" s="9" t="s">
        <v>67</v>
      </c>
    </row>
    <row r="361">
      <c r="A361" s="23">
        <v>45350.0</v>
      </c>
      <c r="B361" s="73">
        <v>60.0</v>
      </c>
      <c r="C361" s="9" t="s">
        <v>69</v>
      </c>
    </row>
    <row r="362">
      <c r="A362" s="23">
        <v>45350.0</v>
      </c>
      <c r="B362" s="73">
        <v>60.0</v>
      </c>
      <c r="C362" s="9" t="s">
        <v>70</v>
      </c>
    </row>
    <row r="363">
      <c r="A363" s="23">
        <v>45350.0</v>
      </c>
      <c r="B363" s="73">
        <v>57.0</v>
      </c>
      <c r="C363" s="9" t="s">
        <v>72</v>
      </c>
    </row>
    <row r="364">
      <c r="A364" s="23">
        <v>45351.0</v>
      </c>
      <c r="B364" s="73">
        <v>40.0</v>
      </c>
      <c r="C364" s="9" t="s">
        <v>11</v>
      </c>
    </row>
    <row r="365">
      <c r="A365" s="23">
        <v>45351.0</v>
      </c>
      <c r="B365" s="73">
        <v>41.0</v>
      </c>
      <c r="C365" s="9" t="s">
        <v>15</v>
      </c>
    </row>
    <row r="366">
      <c r="A366" s="23">
        <v>45351.0</v>
      </c>
      <c r="B366" s="73">
        <v>48.0</v>
      </c>
      <c r="C366" s="9" t="s">
        <v>18</v>
      </c>
    </row>
    <row r="367">
      <c r="A367" s="23">
        <v>45351.0</v>
      </c>
      <c r="B367" s="73">
        <v>42.0</v>
      </c>
      <c r="C367" s="9" t="s">
        <v>48</v>
      </c>
    </row>
    <row r="368">
      <c r="A368" s="23">
        <v>45351.0</v>
      </c>
      <c r="B368" s="73">
        <v>51.0</v>
      </c>
      <c r="C368" s="9" t="s">
        <v>67</v>
      </c>
    </row>
    <row r="369">
      <c r="A369" s="23">
        <v>45351.0</v>
      </c>
      <c r="B369" s="73">
        <v>56.0</v>
      </c>
      <c r="C369" s="9" t="s">
        <v>69</v>
      </c>
    </row>
    <row r="370">
      <c r="A370" s="23">
        <v>45351.0</v>
      </c>
      <c r="B370" s="73">
        <v>52.0</v>
      </c>
      <c r="C370" s="9" t="s">
        <v>70</v>
      </c>
    </row>
    <row r="371">
      <c r="A371" s="23">
        <v>45351.0</v>
      </c>
      <c r="B371" s="73">
        <v>50.0</v>
      </c>
      <c r="C371" s="9" t="s">
        <v>72</v>
      </c>
    </row>
    <row r="372">
      <c r="A372" s="23">
        <v>45352.0</v>
      </c>
      <c r="B372" s="73">
        <v>48.0</v>
      </c>
      <c r="C372" s="9" t="s">
        <v>11</v>
      </c>
    </row>
    <row r="373">
      <c r="A373" s="23">
        <v>45352.0</v>
      </c>
      <c r="B373" s="73">
        <v>44.0</v>
      </c>
      <c r="C373" s="9" t="s">
        <v>15</v>
      </c>
    </row>
    <row r="374">
      <c r="A374" s="23">
        <v>45352.0</v>
      </c>
      <c r="B374" s="73">
        <v>46.0</v>
      </c>
      <c r="C374" s="9" t="s">
        <v>18</v>
      </c>
    </row>
    <row r="375">
      <c r="A375" s="23">
        <v>45352.0</v>
      </c>
      <c r="B375" s="73">
        <v>44.0</v>
      </c>
      <c r="C375" s="9" t="s">
        <v>48</v>
      </c>
    </row>
    <row r="376">
      <c r="A376" s="23">
        <v>45352.0</v>
      </c>
      <c r="B376" s="73">
        <v>54.0</v>
      </c>
      <c r="C376" s="9" t="s">
        <v>67</v>
      </c>
    </row>
    <row r="377">
      <c r="A377" s="23">
        <v>45352.0</v>
      </c>
      <c r="B377" s="73">
        <v>55.0</v>
      </c>
      <c r="C377" s="9" t="s">
        <v>69</v>
      </c>
    </row>
    <row r="378">
      <c r="A378" s="23">
        <v>45352.0</v>
      </c>
      <c r="B378" s="73">
        <v>53.0</v>
      </c>
      <c r="C378" s="9" t="s">
        <v>70</v>
      </c>
    </row>
    <row r="379">
      <c r="A379" s="23">
        <v>45352.0</v>
      </c>
      <c r="B379" s="73">
        <v>50.0</v>
      </c>
      <c r="C379" s="9" t="s">
        <v>72</v>
      </c>
    </row>
    <row r="380">
      <c r="A380" s="23">
        <v>45355.0</v>
      </c>
      <c r="B380" s="73">
        <v>38.0</v>
      </c>
      <c r="C380" s="9" t="s">
        <v>11</v>
      </c>
    </row>
    <row r="381">
      <c r="A381" s="23">
        <v>45355.0</v>
      </c>
      <c r="B381" s="73">
        <v>40.0</v>
      </c>
      <c r="C381" s="9" t="s">
        <v>15</v>
      </c>
    </row>
    <row r="382">
      <c r="A382" s="23">
        <v>45355.0</v>
      </c>
      <c r="B382" s="73">
        <v>41.0</v>
      </c>
      <c r="C382" s="9" t="s">
        <v>18</v>
      </c>
    </row>
    <row r="383">
      <c r="A383" s="23">
        <v>45355.0</v>
      </c>
      <c r="B383" s="73">
        <v>39.0</v>
      </c>
      <c r="C383" s="9" t="s">
        <v>48</v>
      </c>
    </row>
    <row r="384">
      <c r="A384" s="23">
        <v>45355.0</v>
      </c>
      <c r="B384" s="73">
        <v>61.0</v>
      </c>
      <c r="C384" s="9" t="s">
        <v>67</v>
      </c>
    </row>
    <row r="385">
      <c r="A385" s="23">
        <v>45355.0</v>
      </c>
      <c r="B385" s="73">
        <v>60.0</v>
      </c>
      <c r="C385" s="9" t="s">
        <v>69</v>
      </c>
    </row>
    <row r="386">
      <c r="A386" s="23">
        <v>45355.0</v>
      </c>
      <c r="B386" s="73">
        <v>59.0</v>
      </c>
      <c r="C386" s="9" t="s">
        <v>70</v>
      </c>
    </row>
    <row r="387">
      <c r="A387" s="23">
        <v>45355.0</v>
      </c>
      <c r="B387" s="73">
        <v>59.0</v>
      </c>
      <c r="C387" s="9" t="s">
        <v>72</v>
      </c>
    </row>
    <row r="388">
      <c r="A388" s="23">
        <v>45355.0</v>
      </c>
      <c r="B388" s="73">
        <v>60.0</v>
      </c>
      <c r="C388" s="9" t="s">
        <v>108</v>
      </c>
    </row>
    <row r="389">
      <c r="A389" s="23">
        <v>45357.0</v>
      </c>
      <c r="B389" s="73">
        <v>59.0</v>
      </c>
      <c r="C389" s="9" t="s">
        <v>113</v>
      </c>
    </row>
    <row r="390">
      <c r="A390" s="23">
        <v>45357.0</v>
      </c>
      <c r="B390" s="73">
        <v>38.0</v>
      </c>
      <c r="C390" s="9" t="s">
        <v>11</v>
      </c>
    </row>
    <row r="391">
      <c r="A391" s="23">
        <v>45357.0</v>
      </c>
      <c r="B391" s="73">
        <v>40.0</v>
      </c>
      <c r="C391" s="9" t="s">
        <v>15</v>
      </c>
    </row>
    <row r="392">
      <c r="A392" s="23">
        <v>45357.0</v>
      </c>
      <c r="B392" s="73">
        <v>41.0</v>
      </c>
      <c r="C392" s="9" t="s">
        <v>18</v>
      </c>
    </row>
    <row r="393">
      <c r="A393" s="23">
        <v>45357.0</v>
      </c>
      <c r="B393" s="73">
        <v>39.0</v>
      </c>
      <c r="C393" s="9" t="s">
        <v>48</v>
      </c>
    </row>
    <row r="394">
      <c r="A394" s="23">
        <v>45357.0</v>
      </c>
      <c r="B394" s="73">
        <v>58.0</v>
      </c>
      <c r="C394" s="9" t="s">
        <v>67</v>
      </c>
    </row>
    <row r="395">
      <c r="A395" s="23">
        <v>45357.0</v>
      </c>
      <c r="B395" s="73">
        <v>59.0</v>
      </c>
      <c r="C395" s="9" t="s">
        <v>69</v>
      </c>
    </row>
    <row r="396">
      <c r="A396" s="23">
        <v>45357.0</v>
      </c>
      <c r="B396" s="73">
        <v>60.0</v>
      </c>
      <c r="C396" s="9" t="s">
        <v>70</v>
      </c>
    </row>
    <row r="397">
      <c r="A397" s="23">
        <v>45357.0</v>
      </c>
      <c r="B397" s="73">
        <v>60.0</v>
      </c>
      <c r="C397" s="9" t="s">
        <v>72</v>
      </c>
    </row>
    <row r="398">
      <c r="A398" s="23">
        <v>45357.0</v>
      </c>
      <c r="B398" s="73">
        <v>60.0</v>
      </c>
      <c r="C398" s="9" t="s">
        <v>108</v>
      </c>
    </row>
    <row r="399">
      <c r="A399" s="23">
        <v>45357.0</v>
      </c>
      <c r="B399" s="73">
        <v>60.0</v>
      </c>
      <c r="C399" s="9" t="s">
        <v>113</v>
      </c>
    </row>
    <row r="400">
      <c r="A400" s="23">
        <v>45359.0</v>
      </c>
      <c r="B400" s="73">
        <v>39.0</v>
      </c>
      <c r="C400" s="9" t="s">
        <v>11</v>
      </c>
    </row>
    <row r="401">
      <c r="A401" s="23">
        <v>45359.0</v>
      </c>
      <c r="B401" s="73">
        <v>39.0</v>
      </c>
      <c r="C401" s="9" t="s">
        <v>15</v>
      </c>
    </row>
    <row r="402">
      <c r="A402" s="23">
        <v>45359.0</v>
      </c>
      <c r="B402" s="73">
        <v>43.0</v>
      </c>
      <c r="C402" s="9" t="s">
        <v>18</v>
      </c>
    </row>
    <row r="403">
      <c r="A403" s="23">
        <v>45359.0</v>
      </c>
      <c r="B403" s="73">
        <v>42.0</v>
      </c>
      <c r="C403" s="9" t="s">
        <v>48</v>
      </c>
    </row>
    <row r="404">
      <c r="A404" s="23">
        <v>45359.0</v>
      </c>
      <c r="B404" s="73">
        <v>57.0</v>
      </c>
      <c r="C404" s="9" t="s">
        <v>67</v>
      </c>
    </row>
    <row r="405">
      <c r="A405" s="23">
        <v>45359.0</v>
      </c>
      <c r="B405" s="73">
        <v>58.0</v>
      </c>
      <c r="C405" s="9" t="s">
        <v>69</v>
      </c>
    </row>
    <row r="406">
      <c r="A406" s="23">
        <v>45359.0</v>
      </c>
      <c r="B406" s="73">
        <v>60.0</v>
      </c>
      <c r="C406" s="9" t="s">
        <v>70</v>
      </c>
    </row>
    <row r="407">
      <c r="A407" s="23">
        <v>45359.0</v>
      </c>
      <c r="B407" s="73">
        <v>61.0</v>
      </c>
      <c r="C407" s="9" t="s">
        <v>72</v>
      </c>
    </row>
    <row r="408">
      <c r="A408" s="23">
        <v>45359.0</v>
      </c>
      <c r="B408" s="73">
        <v>60.0</v>
      </c>
      <c r="C408" s="9" t="s">
        <v>108</v>
      </c>
    </row>
    <row r="409">
      <c r="A409" s="23">
        <v>45359.0</v>
      </c>
      <c r="B409" s="73">
        <v>62.0</v>
      </c>
      <c r="C409" s="9" t="s">
        <v>113</v>
      </c>
    </row>
    <row r="410">
      <c r="A410" s="23">
        <v>45362.0</v>
      </c>
      <c r="B410" s="73">
        <v>39.0</v>
      </c>
      <c r="C410" s="9" t="s">
        <v>11</v>
      </c>
    </row>
    <row r="411">
      <c r="A411" s="23">
        <v>45362.0</v>
      </c>
      <c r="B411" s="73">
        <v>39.0</v>
      </c>
      <c r="C411" s="9" t="s">
        <v>15</v>
      </c>
    </row>
    <row r="412">
      <c r="A412" s="23">
        <v>45362.0</v>
      </c>
      <c r="B412" s="73">
        <v>44.0</v>
      </c>
      <c r="C412" s="9" t="s">
        <v>18</v>
      </c>
    </row>
    <row r="413">
      <c r="A413" s="23">
        <v>45362.0</v>
      </c>
      <c r="B413" s="73">
        <v>41.0</v>
      </c>
      <c r="C413" s="9" t="s">
        <v>48</v>
      </c>
    </row>
    <row r="414">
      <c r="A414" s="23">
        <v>45362.0</v>
      </c>
      <c r="B414" s="73">
        <v>59.0</v>
      </c>
      <c r="C414" s="9" t="s">
        <v>67</v>
      </c>
    </row>
    <row r="415">
      <c r="A415" s="23">
        <v>45362.0</v>
      </c>
      <c r="B415" s="73">
        <v>59.0</v>
      </c>
      <c r="C415" s="9" t="s">
        <v>69</v>
      </c>
    </row>
    <row r="416">
      <c r="A416" s="23">
        <v>45362.0</v>
      </c>
      <c r="B416" s="73">
        <v>58.0</v>
      </c>
      <c r="C416" s="9" t="s">
        <v>70</v>
      </c>
    </row>
    <row r="417">
      <c r="A417" s="23">
        <v>45362.0</v>
      </c>
      <c r="B417" s="73">
        <v>58.0</v>
      </c>
      <c r="C417" s="9" t="s">
        <v>72</v>
      </c>
    </row>
    <row r="418">
      <c r="A418" s="23">
        <v>45362.0</v>
      </c>
      <c r="B418" s="73">
        <v>62.0</v>
      </c>
      <c r="C418" s="9" t="s">
        <v>108</v>
      </c>
    </row>
    <row r="419">
      <c r="A419" s="23">
        <v>45362.0</v>
      </c>
      <c r="B419" s="73">
        <v>60.0</v>
      </c>
      <c r="C419" s="9" t="s">
        <v>113</v>
      </c>
    </row>
    <row r="420">
      <c r="A420" s="23">
        <v>45364.0</v>
      </c>
      <c r="B420" s="73">
        <v>38.0</v>
      </c>
      <c r="C420" s="9" t="s">
        <v>11</v>
      </c>
    </row>
    <row r="421">
      <c r="A421" s="23">
        <v>45364.0</v>
      </c>
      <c r="B421" s="73">
        <v>39.0</v>
      </c>
      <c r="C421" s="9" t="s">
        <v>15</v>
      </c>
    </row>
    <row r="422">
      <c r="A422" s="23">
        <v>45364.0</v>
      </c>
      <c r="B422" s="73">
        <v>44.0</v>
      </c>
      <c r="C422" s="9" t="s">
        <v>18</v>
      </c>
    </row>
    <row r="423">
      <c r="A423" s="23">
        <v>45364.0</v>
      </c>
      <c r="B423" s="73">
        <v>40.0</v>
      </c>
      <c r="C423" s="9" t="s">
        <v>48</v>
      </c>
    </row>
    <row r="424">
      <c r="A424" s="23">
        <v>45364.0</v>
      </c>
      <c r="B424" s="73">
        <v>59.0</v>
      </c>
      <c r="C424" s="9" t="s">
        <v>67</v>
      </c>
    </row>
    <row r="425">
      <c r="A425" s="23">
        <v>45364.0</v>
      </c>
      <c r="B425" s="73">
        <v>60.0</v>
      </c>
      <c r="C425" s="9" t="s">
        <v>69</v>
      </c>
    </row>
    <row r="426">
      <c r="A426" s="23">
        <v>45364.0</v>
      </c>
      <c r="B426" s="73">
        <v>59.0</v>
      </c>
      <c r="C426" s="9" t="s">
        <v>70</v>
      </c>
    </row>
    <row r="427">
      <c r="A427" s="23">
        <v>45364.0</v>
      </c>
      <c r="B427" s="73">
        <v>57.0</v>
      </c>
      <c r="C427" s="9" t="s">
        <v>72</v>
      </c>
    </row>
    <row r="428">
      <c r="A428" s="23">
        <v>45364.0</v>
      </c>
      <c r="B428" s="73">
        <v>61.0</v>
      </c>
      <c r="C428" s="9" t="s">
        <v>108</v>
      </c>
    </row>
    <row r="429">
      <c r="A429" s="23">
        <v>45364.0</v>
      </c>
      <c r="B429" s="73">
        <v>57.0</v>
      </c>
      <c r="C429" s="9" t="s">
        <v>113</v>
      </c>
    </row>
    <row r="430">
      <c r="A430" s="23">
        <v>45366.0</v>
      </c>
      <c r="B430" s="73">
        <v>38.0</v>
      </c>
      <c r="C430" s="9" t="s">
        <v>11</v>
      </c>
    </row>
    <row r="431">
      <c r="A431" s="23">
        <v>45366.0</v>
      </c>
      <c r="B431" s="73">
        <v>43.0</v>
      </c>
      <c r="C431" s="9" t="s">
        <v>15</v>
      </c>
    </row>
    <row r="432">
      <c r="A432" s="23">
        <v>45366.0</v>
      </c>
      <c r="B432" s="73">
        <v>43.0</v>
      </c>
      <c r="C432" s="9" t="s">
        <v>18</v>
      </c>
    </row>
    <row r="433">
      <c r="A433" s="23">
        <v>45366.0</v>
      </c>
      <c r="B433" s="73">
        <v>41.0</v>
      </c>
      <c r="C433" s="9" t="s">
        <v>48</v>
      </c>
    </row>
    <row r="434">
      <c r="A434" s="23">
        <v>45366.0</v>
      </c>
      <c r="B434" s="73">
        <v>59.0</v>
      </c>
      <c r="C434" s="9" t="s">
        <v>67</v>
      </c>
    </row>
    <row r="435">
      <c r="A435" s="23">
        <v>45366.0</v>
      </c>
      <c r="B435" s="73">
        <v>59.0</v>
      </c>
      <c r="C435" s="9" t="s">
        <v>69</v>
      </c>
    </row>
    <row r="436">
      <c r="A436" s="23">
        <v>45366.0</v>
      </c>
      <c r="B436" s="73">
        <v>60.0</v>
      </c>
      <c r="C436" s="9" t="s">
        <v>70</v>
      </c>
    </row>
    <row r="437">
      <c r="A437" s="23">
        <v>45366.0</v>
      </c>
      <c r="B437" s="73">
        <v>58.0</v>
      </c>
      <c r="C437" s="9" t="s">
        <v>72</v>
      </c>
    </row>
    <row r="438">
      <c r="A438" s="23">
        <v>45366.0</v>
      </c>
      <c r="B438" s="73">
        <v>61.0</v>
      </c>
      <c r="C438" s="9" t="s">
        <v>108</v>
      </c>
    </row>
    <row r="439">
      <c r="A439" s="23">
        <v>45366.0</v>
      </c>
      <c r="B439" s="73">
        <v>59.0</v>
      </c>
      <c r="C439" s="9" t="s">
        <v>113</v>
      </c>
    </row>
    <row r="440">
      <c r="A440" s="23">
        <v>45369.0</v>
      </c>
      <c r="B440" s="73">
        <v>38.0</v>
      </c>
      <c r="C440" s="9" t="s">
        <v>11</v>
      </c>
    </row>
    <row r="441">
      <c r="A441" s="23">
        <v>45369.0</v>
      </c>
      <c r="B441" s="73">
        <v>37.0</v>
      </c>
      <c r="C441" s="9" t="s">
        <v>15</v>
      </c>
    </row>
    <row r="442">
      <c r="A442" s="23">
        <v>45369.0</v>
      </c>
      <c r="B442" s="73">
        <v>38.0</v>
      </c>
      <c r="C442" s="9" t="s">
        <v>18</v>
      </c>
    </row>
    <row r="443">
      <c r="A443" s="23">
        <v>45369.0</v>
      </c>
      <c r="B443" s="73">
        <v>37.0</v>
      </c>
      <c r="C443" s="9" t="s">
        <v>48</v>
      </c>
    </row>
    <row r="444">
      <c r="A444" s="23">
        <v>45369.0</v>
      </c>
      <c r="B444" s="73">
        <v>60.0</v>
      </c>
      <c r="C444" s="9" t="s">
        <v>67</v>
      </c>
    </row>
    <row r="445">
      <c r="A445" s="23">
        <v>45369.0</v>
      </c>
      <c r="B445" s="73">
        <v>59.0</v>
      </c>
      <c r="C445" s="9" t="s">
        <v>69</v>
      </c>
    </row>
    <row r="446">
      <c r="A446" s="23">
        <v>45369.0</v>
      </c>
      <c r="B446" s="73">
        <v>61.0</v>
      </c>
      <c r="C446" s="9" t="s">
        <v>70</v>
      </c>
    </row>
    <row r="447">
      <c r="A447" s="23">
        <v>45369.0</v>
      </c>
      <c r="B447" s="73">
        <v>60.0</v>
      </c>
      <c r="C447" s="9" t="s">
        <v>72</v>
      </c>
    </row>
    <row r="448">
      <c r="A448" s="23">
        <v>45369.0</v>
      </c>
      <c r="B448" s="73">
        <v>59.0</v>
      </c>
      <c r="C448" s="9" t="s">
        <v>108</v>
      </c>
    </row>
    <row r="449">
      <c r="A449" s="23">
        <v>45369.0</v>
      </c>
      <c r="B449" s="73">
        <v>61.0</v>
      </c>
      <c r="C449" s="9" t="s">
        <v>113</v>
      </c>
    </row>
    <row r="450">
      <c r="A450" s="23">
        <v>45371.0</v>
      </c>
      <c r="B450" s="73">
        <v>37.0</v>
      </c>
      <c r="C450" s="9" t="s">
        <v>11</v>
      </c>
    </row>
    <row r="451">
      <c r="A451" s="23">
        <v>45371.0</v>
      </c>
      <c r="B451" s="73">
        <v>38.0</v>
      </c>
      <c r="C451" s="9" t="s">
        <v>15</v>
      </c>
    </row>
    <row r="452">
      <c r="A452" s="23">
        <v>45371.0</v>
      </c>
      <c r="B452" s="73">
        <v>38.0</v>
      </c>
      <c r="C452" s="9" t="s">
        <v>18</v>
      </c>
    </row>
    <row r="453">
      <c r="A453" s="23">
        <v>45371.0</v>
      </c>
      <c r="B453" s="73">
        <v>38.0</v>
      </c>
      <c r="C453" s="9" t="s">
        <v>48</v>
      </c>
    </row>
    <row r="454">
      <c r="A454" s="23">
        <v>45371.0</v>
      </c>
      <c r="B454" s="73">
        <v>61.0</v>
      </c>
      <c r="C454" s="9" t="s">
        <v>67</v>
      </c>
    </row>
    <row r="455">
      <c r="A455" s="23">
        <v>45371.0</v>
      </c>
      <c r="B455" s="73">
        <v>59.0</v>
      </c>
      <c r="C455" s="9" t="s">
        <v>69</v>
      </c>
    </row>
    <row r="456">
      <c r="A456" s="23">
        <v>45371.0</v>
      </c>
      <c r="B456" s="73">
        <v>60.0</v>
      </c>
      <c r="C456" s="9" t="s">
        <v>70</v>
      </c>
    </row>
    <row r="457">
      <c r="A457" s="23">
        <v>45371.0</v>
      </c>
      <c r="B457" s="73">
        <v>59.0</v>
      </c>
      <c r="C457" s="9" t="s">
        <v>72</v>
      </c>
    </row>
    <row r="458">
      <c r="A458" s="23">
        <v>45371.0</v>
      </c>
      <c r="B458" s="73">
        <v>62.0</v>
      </c>
      <c r="C458" s="9" t="s">
        <v>108</v>
      </c>
    </row>
    <row r="459">
      <c r="A459" s="23">
        <v>45371.0</v>
      </c>
      <c r="B459" s="73">
        <v>61.0</v>
      </c>
      <c r="C459" s="9" t="s">
        <v>113</v>
      </c>
    </row>
    <row r="460">
      <c r="A460" s="23">
        <v>45373.0</v>
      </c>
      <c r="B460" s="73">
        <v>37.0</v>
      </c>
      <c r="C460" s="9" t="s">
        <v>11</v>
      </c>
    </row>
    <row r="461">
      <c r="A461" s="23">
        <v>45373.0</v>
      </c>
      <c r="B461" s="73">
        <v>38.0</v>
      </c>
      <c r="C461" s="9" t="s">
        <v>15</v>
      </c>
    </row>
    <row r="462">
      <c r="A462" s="23">
        <v>45373.0</v>
      </c>
      <c r="B462" s="73">
        <v>38.0</v>
      </c>
      <c r="C462" s="9" t="s">
        <v>18</v>
      </c>
    </row>
    <row r="463">
      <c r="A463" s="23">
        <v>45373.0</v>
      </c>
      <c r="B463" s="73">
        <v>38.0</v>
      </c>
      <c r="C463" s="9" t="s">
        <v>48</v>
      </c>
    </row>
    <row r="464">
      <c r="A464" s="23">
        <v>45373.0</v>
      </c>
      <c r="B464" s="73">
        <v>60.0</v>
      </c>
      <c r="C464" s="9" t="s">
        <v>67</v>
      </c>
    </row>
    <row r="465">
      <c r="A465" s="23">
        <v>45373.0</v>
      </c>
      <c r="B465" s="73">
        <v>59.0</v>
      </c>
      <c r="C465" s="9" t="s">
        <v>69</v>
      </c>
    </row>
    <row r="466">
      <c r="A466" s="23">
        <v>45373.0</v>
      </c>
      <c r="B466" s="73">
        <v>58.0</v>
      </c>
      <c r="C466" s="9" t="s">
        <v>70</v>
      </c>
    </row>
    <row r="467">
      <c r="A467" s="23">
        <v>45373.0</v>
      </c>
      <c r="B467" s="73">
        <v>59.0</v>
      </c>
      <c r="C467" s="9" t="s">
        <v>72</v>
      </c>
    </row>
    <row r="468">
      <c r="A468" s="23">
        <v>45373.0</v>
      </c>
      <c r="B468" s="73">
        <v>63.0</v>
      </c>
      <c r="C468" s="9" t="s">
        <v>108</v>
      </c>
    </row>
    <row r="469">
      <c r="A469" s="23">
        <v>45373.0</v>
      </c>
      <c r="B469" s="73">
        <v>61.0</v>
      </c>
      <c r="C469" s="9" t="s">
        <v>113</v>
      </c>
    </row>
    <row r="470">
      <c r="A470" s="23">
        <v>45376.0</v>
      </c>
      <c r="B470" s="73">
        <v>36.0</v>
      </c>
      <c r="C470" s="9" t="s">
        <v>11</v>
      </c>
    </row>
    <row r="471">
      <c r="A471" s="23">
        <v>45376.0</v>
      </c>
      <c r="B471" s="73">
        <v>40.0</v>
      </c>
      <c r="C471" s="9" t="s">
        <v>15</v>
      </c>
    </row>
    <row r="472">
      <c r="A472" s="23">
        <v>45376.0</v>
      </c>
      <c r="B472" s="73">
        <v>37.0</v>
      </c>
      <c r="C472" s="9" t="s">
        <v>18</v>
      </c>
    </row>
    <row r="473">
      <c r="A473" s="23">
        <v>45376.0</v>
      </c>
      <c r="B473" s="73">
        <v>38.0</v>
      </c>
      <c r="C473" s="9" t="s">
        <v>48</v>
      </c>
    </row>
    <row r="474">
      <c r="A474" s="23">
        <v>45376.0</v>
      </c>
      <c r="B474" s="73">
        <v>63.0</v>
      </c>
      <c r="C474" s="9" t="s">
        <v>67</v>
      </c>
    </row>
    <row r="475">
      <c r="A475" s="23">
        <v>45376.0</v>
      </c>
      <c r="B475" s="73">
        <v>62.0</v>
      </c>
      <c r="C475" s="9" t="s">
        <v>69</v>
      </c>
    </row>
    <row r="476">
      <c r="A476" s="23">
        <v>45376.0</v>
      </c>
      <c r="B476" s="73">
        <v>62.0</v>
      </c>
      <c r="C476" s="9" t="s">
        <v>70</v>
      </c>
    </row>
    <row r="477">
      <c r="A477" s="23">
        <v>45376.0</v>
      </c>
      <c r="B477" s="73">
        <v>60.0</v>
      </c>
      <c r="C477" s="9" t="s">
        <v>72</v>
      </c>
    </row>
    <row r="478">
      <c r="A478" s="23">
        <v>45376.0</v>
      </c>
      <c r="B478" s="73">
        <v>62.0</v>
      </c>
      <c r="C478" s="9" t="s">
        <v>108</v>
      </c>
    </row>
    <row r="479">
      <c r="A479" s="23">
        <v>45376.0</v>
      </c>
      <c r="B479" s="73">
        <v>63.0</v>
      </c>
      <c r="C479" s="9" t="s">
        <v>113</v>
      </c>
    </row>
    <row r="480">
      <c r="A480" s="23">
        <v>45378.0</v>
      </c>
      <c r="B480" s="73">
        <v>36.0</v>
      </c>
      <c r="C480" s="9" t="s">
        <v>11</v>
      </c>
    </row>
    <row r="481">
      <c r="A481" s="23">
        <v>45378.0</v>
      </c>
      <c r="B481" s="73">
        <v>40.0</v>
      </c>
      <c r="C481" s="9" t="s">
        <v>15</v>
      </c>
    </row>
    <row r="482">
      <c r="A482" s="23">
        <v>45378.0</v>
      </c>
      <c r="B482" s="73">
        <v>37.0</v>
      </c>
      <c r="C482" s="9" t="s">
        <v>18</v>
      </c>
    </row>
    <row r="483">
      <c r="A483" s="23">
        <v>45378.0</v>
      </c>
      <c r="B483" s="73">
        <v>38.0</v>
      </c>
      <c r="C483" s="9" t="s">
        <v>48</v>
      </c>
    </row>
    <row r="484">
      <c r="A484" s="23">
        <v>45378.0</v>
      </c>
      <c r="B484" s="73">
        <v>60.0</v>
      </c>
      <c r="C484" s="9" t="s">
        <v>67</v>
      </c>
    </row>
    <row r="485">
      <c r="A485" s="23">
        <v>45378.0</v>
      </c>
      <c r="B485" s="73">
        <v>61.0</v>
      </c>
      <c r="C485" s="9" t="s">
        <v>69</v>
      </c>
    </row>
    <row r="486">
      <c r="A486" s="23">
        <v>45378.0</v>
      </c>
      <c r="B486" s="73">
        <v>58.0</v>
      </c>
      <c r="C486" s="9" t="s">
        <v>70</v>
      </c>
    </row>
    <row r="487">
      <c r="A487" s="23">
        <v>45378.0</v>
      </c>
      <c r="B487" s="73">
        <v>60.0</v>
      </c>
      <c r="C487" s="9" t="s">
        <v>72</v>
      </c>
    </row>
    <row r="488">
      <c r="A488" s="23">
        <v>45378.0</v>
      </c>
      <c r="B488" s="73">
        <v>62.0</v>
      </c>
      <c r="C488" s="9" t="s">
        <v>108</v>
      </c>
    </row>
    <row r="489">
      <c r="A489" s="23">
        <v>45378.0</v>
      </c>
      <c r="B489" s="73">
        <v>62.0</v>
      </c>
      <c r="C489" s="9" t="s">
        <v>113</v>
      </c>
    </row>
    <row r="490">
      <c r="A490" s="23">
        <v>45379.0</v>
      </c>
      <c r="B490" s="73">
        <v>36.0</v>
      </c>
      <c r="C490" s="9" t="s">
        <v>11</v>
      </c>
    </row>
    <row r="491">
      <c r="A491" s="23">
        <v>45379.0</v>
      </c>
      <c r="B491" s="73">
        <v>40.0</v>
      </c>
      <c r="C491" s="9" t="s">
        <v>15</v>
      </c>
    </row>
    <row r="492">
      <c r="A492" s="23">
        <v>45379.0</v>
      </c>
      <c r="B492" s="73">
        <v>37.0</v>
      </c>
      <c r="C492" s="9" t="s">
        <v>18</v>
      </c>
    </row>
    <row r="493">
      <c r="A493" s="23">
        <v>45379.0</v>
      </c>
      <c r="B493" s="73">
        <v>38.0</v>
      </c>
      <c r="C493" s="9" t="s">
        <v>48</v>
      </c>
    </row>
    <row r="494">
      <c r="A494" s="23">
        <v>45379.0</v>
      </c>
      <c r="B494" s="73">
        <v>60.0</v>
      </c>
      <c r="C494" s="9" t="s">
        <v>67</v>
      </c>
    </row>
    <row r="495">
      <c r="A495" s="23">
        <v>45379.0</v>
      </c>
      <c r="B495" s="73">
        <v>61.0</v>
      </c>
      <c r="C495" s="9" t="s">
        <v>69</v>
      </c>
    </row>
    <row r="496">
      <c r="A496" s="23">
        <v>45379.0</v>
      </c>
      <c r="B496" s="73">
        <v>58.0</v>
      </c>
      <c r="C496" s="9" t="s">
        <v>70</v>
      </c>
    </row>
    <row r="497">
      <c r="A497" s="23">
        <v>45379.0</v>
      </c>
      <c r="B497" s="73">
        <v>60.0</v>
      </c>
      <c r="C497" s="9" t="s">
        <v>72</v>
      </c>
    </row>
    <row r="498">
      <c r="A498" s="23">
        <v>45379.0</v>
      </c>
      <c r="B498" s="73">
        <v>62.0</v>
      </c>
      <c r="C498" s="9" t="s">
        <v>108</v>
      </c>
    </row>
    <row r="499">
      <c r="A499" s="23">
        <v>45379.0</v>
      </c>
      <c r="B499" s="73">
        <v>62.0</v>
      </c>
      <c r="C499" s="9" t="s">
        <v>113</v>
      </c>
    </row>
    <row r="500">
      <c r="A500" s="23">
        <v>45383.0</v>
      </c>
      <c r="B500" s="73">
        <v>34.0</v>
      </c>
      <c r="C500" s="9" t="s">
        <v>11</v>
      </c>
    </row>
    <row r="501">
      <c r="A501" s="23">
        <v>45383.0</v>
      </c>
      <c r="B501" s="73">
        <v>36.0</v>
      </c>
      <c r="C501" s="9" t="s">
        <v>15</v>
      </c>
    </row>
    <row r="502">
      <c r="A502" s="23">
        <v>45383.0</v>
      </c>
      <c r="B502" s="73">
        <v>35.0</v>
      </c>
      <c r="C502" s="9" t="s">
        <v>18</v>
      </c>
    </row>
    <row r="503">
      <c r="A503" s="23">
        <v>45383.0</v>
      </c>
      <c r="B503" s="73">
        <v>35.0</v>
      </c>
      <c r="C503" s="9" t="s">
        <v>48</v>
      </c>
    </row>
    <row r="504">
      <c r="A504" s="23">
        <v>45383.0</v>
      </c>
      <c r="B504" s="73">
        <v>65.0</v>
      </c>
      <c r="C504" s="9" t="s">
        <v>67</v>
      </c>
    </row>
    <row r="505">
      <c r="A505" s="23">
        <v>45383.0</v>
      </c>
      <c r="B505" s="73">
        <v>67.0</v>
      </c>
      <c r="C505" s="9" t="s">
        <v>69</v>
      </c>
    </row>
    <row r="506">
      <c r="A506" s="23">
        <v>45383.0</v>
      </c>
      <c r="B506" s="73">
        <v>60.0</v>
      </c>
      <c r="C506" s="9" t="s">
        <v>70</v>
      </c>
    </row>
    <row r="507">
      <c r="A507" s="23">
        <v>45383.0</v>
      </c>
      <c r="B507" s="73">
        <v>63.0</v>
      </c>
      <c r="C507" s="9" t="s">
        <v>72</v>
      </c>
    </row>
    <row r="508">
      <c r="A508" s="23">
        <v>45383.0</v>
      </c>
      <c r="B508" s="73">
        <v>63.0</v>
      </c>
      <c r="C508" s="9" t="s">
        <v>108</v>
      </c>
    </row>
    <row r="509">
      <c r="A509" s="23">
        <v>45383.0</v>
      </c>
      <c r="B509" s="73">
        <v>62.0</v>
      </c>
      <c r="C509" s="9" t="s">
        <v>113</v>
      </c>
    </row>
    <row r="510">
      <c r="A510" s="23">
        <v>45385.0</v>
      </c>
      <c r="B510" s="73">
        <v>34.0</v>
      </c>
      <c r="C510" s="9" t="s">
        <v>11</v>
      </c>
    </row>
    <row r="511">
      <c r="A511" s="23">
        <v>45385.0</v>
      </c>
      <c r="B511" s="73">
        <v>33.0</v>
      </c>
      <c r="C511" s="9" t="s">
        <v>15</v>
      </c>
    </row>
    <row r="512">
      <c r="A512" s="23">
        <v>45385.0</v>
      </c>
      <c r="B512" s="73">
        <v>34.0</v>
      </c>
      <c r="C512" s="9" t="s">
        <v>18</v>
      </c>
    </row>
    <row r="513">
      <c r="A513" s="23">
        <v>45385.0</v>
      </c>
      <c r="B513" s="73">
        <v>35.0</v>
      </c>
      <c r="C513" s="9" t="s">
        <v>48</v>
      </c>
    </row>
    <row r="514">
      <c r="A514" s="23">
        <v>45385.0</v>
      </c>
      <c r="B514" s="73">
        <v>62.0</v>
      </c>
      <c r="C514" s="9" t="s">
        <v>67</v>
      </c>
    </row>
    <row r="515">
      <c r="A515" s="23">
        <v>45385.0</v>
      </c>
      <c r="B515" s="73">
        <v>63.0</v>
      </c>
      <c r="C515" s="9" t="s">
        <v>69</v>
      </c>
    </row>
    <row r="516">
      <c r="A516" s="23">
        <v>45385.0</v>
      </c>
      <c r="B516" s="73">
        <v>63.0</v>
      </c>
      <c r="C516" s="9" t="s">
        <v>70</v>
      </c>
    </row>
    <row r="517">
      <c r="A517" s="23">
        <v>45385.0</v>
      </c>
      <c r="B517" s="73">
        <v>64.0</v>
      </c>
      <c r="C517" s="9" t="s">
        <v>72</v>
      </c>
    </row>
    <row r="518">
      <c r="A518" s="23">
        <v>45385.0</v>
      </c>
      <c r="B518" s="73">
        <v>64.0</v>
      </c>
      <c r="C518" s="9" t="s">
        <v>108</v>
      </c>
    </row>
    <row r="519">
      <c r="A519" s="23">
        <v>45385.0</v>
      </c>
      <c r="B519" s="73">
        <v>65.0</v>
      </c>
      <c r="C519" s="9" t="s">
        <v>113</v>
      </c>
    </row>
    <row r="520">
      <c r="A520" s="23">
        <v>45387.0</v>
      </c>
      <c r="B520" s="73">
        <v>33.0</v>
      </c>
      <c r="C520" s="9" t="s">
        <v>11</v>
      </c>
    </row>
    <row r="521">
      <c r="A521" s="23">
        <v>45387.0</v>
      </c>
      <c r="B521" s="73">
        <v>34.0</v>
      </c>
      <c r="C521" s="9" t="s">
        <v>15</v>
      </c>
    </row>
    <row r="522">
      <c r="A522" s="23">
        <v>45387.0</v>
      </c>
      <c r="B522" s="73">
        <v>34.0</v>
      </c>
      <c r="C522" s="9" t="s">
        <v>18</v>
      </c>
    </row>
    <row r="523">
      <c r="A523" s="23">
        <v>45387.0</v>
      </c>
      <c r="B523" s="73">
        <v>35.0</v>
      </c>
      <c r="C523" s="9" t="s">
        <v>48</v>
      </c>
    </row>
    <row r="524">
      <c r="A524" s="23">
        <v>45387.0</v>
      </c>
      <c r="B524" s="73">
        <v>66.5</v>
      </c>
      <c r="C524" s="9" t="s">
        <v>67</v>
      </c>
    </row>
    <row r="525">
      <c r="A525" s="23">
        <v>45387.0</v>
      </c>
      <c r="B525" s="73">
        <v>64.0</v>
      </c>
      <c r="C525" s="9" t="s">
        <v>69</v>
      </c>
    </row>
    <row r="526">
      <c r="A526" s="23">
        <v>45387.0</v>
      </c>
      <c r="B526" s="73">
        <v>62.0</v>
      </c>
      <c r="C526" s="9" t="s">
        <v>70</v>
      </c>
    </row>
    <row r="527">
      <c r="A527" s="23">
        <v>45387.0</v>
      </c>
      <c r="B527" s="73">
        <v>62.0</v>
      </c>
      <c r="C527" s="9" t="s">
        <v>72</v>
      </c>
    </row>
    <row r="528">
      <c r="A528" s="23">
        <v>45387.0</v>
      </c>
      <c r="B528" s="73">
        <v>64.0</v>
      </c>
      <c r="C528" s="9" t="s">
        <v>108</v>
      </c>
    </row>
    <row r="529">
      <c r="A529" s="23">
        <v>45387.0</v>
      </c>
      <c r="B529" s="73">
        <v>64.0</v>
      </c>
      <c r="C529" s="9" t="s">
        <v>113</v>
      </c>
    </row>
    <row r="530">
      <c r="A530" s="23"/>
      <c r="B530" s="84"/>
    </row>
    <row r="531">
      <c r="A531" s="23"/>
      <c r="B531" s="84"/>
    </row>
    <row r="532">
      <c r="A532" s="23"/>
      <c r="B532" s="84"/>
    </row>
    <row r="533">
      <c r="A533" s="23"/>
      <c r="B533" s="84"/>
    </row>
    <row r="534">
      <c r="A534" s="112"/>
      <c r="B534" s="84"/>
    </row>
    <row r="535">
      <c r="A535" s="112"/>
      <c r="B535" s="84"/>
    </row>
    <row r="536">
      <c r="A536" s="112"/>
      <c r="B536" s="84"/>
    </row>
    <row r="537">
      <c r="A537" s="112"/>
      <c r="B537" s="84"/>
    </row>
    <row r="538">
      <c r="A538" s="112"/>
      <c r="B538" s="84"/>
    </row>
    <row r="539">
      <c r="A539" s="112"/>
      <c r="B539" s="84"/>
    </row>
    <row r="540">
      <c r="A540" s="112"/>
      <c r="B540" s="84"/>
    </row>
    <row r="541">
      <c r="A541" s="112"/>
      <c r="B541" s="84"/>
    </row>
    <row r="542">
      <c r="A542" s="112"/>
      <c r="B542" s="84"/>
    </row>
    <row r="543">
      <c r="A543" s="112"/>
      <c r="B543" s="84"/>
    </row>
    <row r="544">
      <c r="A544" s="112"/>
      <c r="B544" s="84"/>
    </row>
    <row r="545">
      <c r="A545" s="112"/>
      <c r="B545" s="84"/>
    </row>
    <row r="546">
      <c r="A546" s="112"/>
      <c r="B546" s="84"/>
    </row>
    <row r="547">
      <c r="A547" s="112"/>
      <c r="B547" s="84"/>
    </row>
    <row r="548">
      <c r="A548" s="112"/>
      <c r="B548" s="84"/>
    </row>
    <row r="549">
      <c r="A549" s="112"/>
      <c r="B549" s="84"/>
    </row>
    <row r="550">
      <c r="A550" s="112"/>
      <c r="B550" s="84"/>
    </row>
    <row r="551">
      <c r="A551" s="112"/>
      <c r="B551" s="84"/>
    </row>
    <row r="552">
      <c r="A552" s="112"/>
      <c r="B552" s="84"/>
    </row>
    <row r="553">
      <c r="A553" s="112"/>
      <c r="B553" s="84"/>
    </row>
    <row r="554">
      <c r="A554" s="112"/>
      <c r="B554" s="84"/>
    </row>
    <row r="555">
      <c r="A555" s="112"/>
      <c r="B555" s="84"/>
    </row>
    <row r="556">
      <c r="A556" s="112"/>
      <c r="B556" s="84"/>
    </row>
    <row r="557">
      <c r="A557" s="112"/>
      <c r="B557" s="84"/>
    </row>
    <row r="558">
      <c r="A558" s="112"/>
      <c r="B558" s="84"/>
    </row>
    <row r="559">
      <c r="A559" s="112"/>
      <c r="B559" s="84"/>
    </row>
    <row r="560">
      <c r="A560" s="112"/>
      <c r="B560" s="84"/>
    </row>
    <row r="561">
      <c r="A561" s="112"/>
      <c r="B561" s="84"/>
    </row>
    <row r="562">
      <c r="A562" s="112"/>
      <c r="B562" s="84"/>
    </row>
    <row r="563">
      <c r="A563" s="112"/>
      <c r="B563" s="84"/>
    </row>
    <row r="564">
      <c r="A564" s="112"/>
      <c r="B564" s="84"/>
    </row>
    <row r="565">
      <c r="A565" s="112"/>
      <c r="B565" s="84"/>
    </row>
    <row r="566">
      <c r="A566" s="112"/>
      <c r="B566" s="84"/>
    </row>
    <row r="567">
      <c r="A567" s="112"/>
      <c r="B567" s="84"/>
    </row>
    <row r="568">
      <c r="A568" s="112"/>
      <c r="B568" s="84"/>
    </row>
    <row r="569">
      <c r="A569" s="112"/>
      <c r="B569" s="84"/>
    </row>
    <row r="570">
      <c r="A570" s="112"/>
      <c r="B570" s="84"/>
    </row>
    <row r="571">
      <c r="A571" s="112"/>
      <c r="B571" s="84"/>
    </row>
    <row r="572">
      <c r="A572" s="112"/>
      <c r="B572" s="84"/>
    </row>
    <row r="573">
      <c r="A573" s="112"/>
      <c r="B573" s="84"/>
    </row>
    <row r="574">
      <c r="A574" s="112"/>
      <c r="B574" s="84"/>
    </row>
    <row r="575">
      <c r="A575" s="112"/>
      <c r="B575" s="84"/>
    </row>
    <row r="576">
      <c r="A576" s="112"/>
      <c r="B576" s="84"/>
    </row>
    <row r="577">
      <c r="A577" s="112"/>
      <c r="B577" s="84"/>
    </row>
    <row r="578">
      <c r="A578" s="112"/>
      <c r="B578" s="84"/>
    </row>
    <row r="579">
      <c r="A579" s="112"/>
      <c r="B579" s="84"/>
    </row>
    <row r="580">
      <c r="A580" s="112"/>
      <c r="B580" s="84"/>
    </row>
    <row r="581">
      <c r="A581" s="112"/>
      <c r="B581" s="84"/>
    </row>
    <row r="582">
      <c r="A582" s="112"/>
      <c r="B582" s="84"/>
    </row>
    <row r="583">
      <c r="A583" s="112"/>
      <c r="B583" s="84"/>
    </row>
    <row r="584">
      <c r="A584" s="112"/>
      <c r="B584" s="84"/>
    </row>
    <row r="585">
      <c r="A585" s="112"/>
      <c r="B585" s="84"/>
    </row>
    <row r="586">
      <c r="A586" s="112"/>
      <c r="B586" s="84"/>
    </row>
    <row r="587">
      <c r="A587" s="112"/>
      <c r="B587" s="84"/>
    </row>
    <row r="588">
      <c r="A588" s="112"/>
      <c r="B588" s="84"/>
    </row>
    <row r="589">
      <c r="A589" s="112"/>
      <c r="B589" s="84"/>
    </row>
    <row r="590">
      <c r="A590" s="112"/>
      <c r="B590" s="84"/>
    </row>
    <row r="591">
      <c r="A591" s="112"/>
      <c r="B591" s="84"/>
    </row>
    <row r="592">
      <c r="A592" s="112"/>
      <c r="B592" s="84"/>
    </row>
    <row r="593">
      <c r="A593" s="112"/>
      <c r="B593" s="84"/>
    </row>
    <row r="594">
      <c r="A594" s="112"/>
      <c r="B594" s="84"/>
    </row>
    <row r="595">
      <c r="A595" s="112"/>
      <c r="B595" s="84"/>
    </row>
    <row r="596">
      <c r="A596" s="112"/>
      <c r="B596" s="84"/>
    </row>
    <row r="597">
      <c r="A597" s="112"/>
      <c r="B597" s="84"/>
    </row>
    <row r="598">
      <c r="A598" s="112"/>
      <c r="B598" s="84"/>
    </row>
    <row r="599">
      <c r="A599" s="112"/>
      <c r="B599" s="84"/>
    </row>
    <row r="600">
      <c r="A600" s="112"/>
      <c r="B600" s="84"/>
    </row>
    <row r="601">
      <c r="A601" s="112"/>
      <c r="B601" s="84"/>
    </row>
    <row r="602">
      <c r="A602" s="112"/>
      <c r="B602" s="84"/>
    </row>
    <row r="603">
      <c r="A603" s="112"/>
      <c r="B603" s="84"/>
    </row>
    <row r="604">
      <c r="A604" s="112"/>
      <c r="B604" s="84"/>
    </row>
    <row r="605">
      <c r="A605" s="112"/>
      <c r="B605" s="84"/>
    </row>
    <row r="606">
      <c r="A606" s="112"/>
      <c r="B606" s="84"/>
    </row>
    <row r="607">
      <c r="A607" s="112"/>
      <c r="B607" s="84"/>
    </row>
    <row r="608">
      <c r="A608" s="112"/>
      <c r="B608" s="84"/>
    </row>
    <row r="609">
      <c r="A609" s="112"/>
      <c r="B609" s="84"/>
    </row>
    <row r="610">
      <c r="A610" s="112"/>
      <c r="B610" s="84"/>
    </row>
    <row r="611">
      <c r="A611" s="112"/>
      <c r="B611" s="84"/>
    </row>
    <row r="612">
      <c r="A612" s="112"/>
      <c r="B612" s="84"/>
    </row>
    <row r="613">
      <c r="A613" s="112"/>
      <c r="B613" s="84"/>
    </row>
    <row r="614">
      <c r="A614" s="112"/>
      <c r="B614" s="84"/>
    </row>
    <row r="615">
      <c r="A615" s="112"/>
      <c r="B615" s="84"/>
    </row>
    <row r="616">
      <c r="A616" s="112"/>
      <c r="B616" s="84"/>
    </row>
    <row r="617">
      <c r="A617" s="112"/>
      <c r="B617" s="84"/>
    </row>
    <row r="618">
      <c r="A618" s="112"/>
      <c r="B618" s="84"/>
    </row>
    <row r="619">
      <c r="A619" s="112"/>
      <c r="B619" s="84"/>
    </row>
    <row r="620">
      <c r="A620" s="112"/>
      <c r="B620" s="84"/>
    </row>
    <row r="621">
      <c r="A621" s="112"/>
      <c r="B621" s="84"/>
    </row>
    <row r="622">
      <c r="A622" s="112"/>
      <c r="B622" s="84"/>
    </row>
    <row r="623">
      <c r="A623" s="112"/>
      <c r="B623" s="84"/>
    </row>
    <row r="624">
      <c r="A624" s="112"/>
      <c r="B624" s="84"/>
    </row>
    <row r="625">
      <c r="A625" s="112"/>
      <c r="B625" s="84"/>
    </row>
    <row r="626">
      <c r="A626" s="112"/>
      <c r="B626" s="84"/>
    </row>
    <row r="627">
      <c r="A627" s="112"/>
      <c r="B627" s="84"/>
    </row>
    <row r="628">
      <c r="A628" s="112"/>
      <c r="B628" s="84"/>
    </row>
    <row r="629">
      <c r="A629" s="112"/>
      <c r="B629" s="84"/>
    </row>
    <row r="630">
      <c r="A630" s="112"/>
      <c r="B630" s="84"/>
    </row>
    <row r="631">
      <c r="A631" s="112"/>
      <c r="B631" s="84"/>
    </row>
    <row r="632">
      <c r="A632" s="112"/>
      <c r="B632" s="84"/>
    </row>
    <row r="633">
      <c r="A633" s="112"/>
      <c r="B633" s="84"/>
    </row>
    <row r="634">
      <c r="A634" s="112"/>
      <c r="B634" s="84"/>
    </row>
    <row r="635">
      <c r="A635" s="112"/>
      <c r="B635" s="84"/>
    </row>
    <row r="636">
      <c r="A636" s="112"/>
      <c r="B636" s="84"/>
    </row>
    <row r="637">
      <c r="A637" s="112"/>
      <c r="B637" s="84"/>
    </row>
    <row r="638">
      <c r="A638" s="112"/>
      <c r="B638" s="84"/>
    </row>
    <row r="639">
      <c r="A639" s="112"/>
      <c r="B639" s="84"/>
    </row>
    <row r="640">
      <c r="A640" s="112"/>
      <c r="B640" s="84"/>
    </row>
    <row r="641">
      <c r="A641" s="112"/>
      <c r="B641" s="84"/>
    </row>
    <row r="642">
      <c r="A642" s="112"/>
      <c r="B642" s="84"/>
    </row>
    <row r="643">
      <c r="A643" s="112"/>
      <c r="B643" s="84"/>
    </row>
    <row r="644">
      <c r="A644" s="112"/>
      <c r="B644" s="84"/>
    </row>
    <row r="645">
      <c r="A645" s="112"/>
      <c r="B645" s="84"/>
    </row>
    <row r="646">
      <c r="A646" s="112"/>
      <c r="B646" s="84"/>
    </row>
    <row r="647">
      <c r="A647" s="112"/>
      <c r="B647" s="84"/>
    </row>
    <row r="648">
      <c r="A648" s="112"/>
      <c r="B648" s="84"/>
    </row>
    <row r="649">
      <c r="A649" s="112"/>
      <c r="B649" s="84"/>
    </row>
    <row r="650">
      <c r="A650" s="112"/>
      <c r="B650" s="84"/>
    </row>
    <row r="651">
      <c r="A651" s="112"/>
      <c r="B651" s="84"/>
    </row>
    <row r="652">
      <c r="A652" s="112"/>
      <c r="B652" s="84"/>
    </row>
    <row r="653">
      <c r="A653" s="112"/>
      <c r="B653" s="84"/>
    </row>
    <row r="654">
      <c r="A654" s="112"/>
      <c r="B654" s="84"/>
    </row>
    <row r="655">
      <c r="A655" s="112"/>
      <c r="B655" s="84"/>
    </row>
    <row r="656">
      <c r="A656" s="112"/>
      <c r="B656" s="84"/>
    </row>
    <row r="657">
      <c r="A657" s="112"/>
      <c r="B657" s="84"/>
    </row>
    <row r="658">
      <c r="A658" s="112"/>
      <c r="B658" s="84"/>
    </row>
    <row r="659">
      <c r="A659" s="112"/>
      <c r="B659" s="84"/>
    </row>
    <row r="660">
      <c r="A660" s="112"/>
      <c r="B660" s="84"/>
    </row>
    <row r="661">
      <c r="A661" s="112"/>
      <c r="B661" s="84"/>
    </row>
    <row r="662">
      <c r="A662" s="112"/>
      <c r="B662" s="84"/>
    </row>
    <row r="663">
      <c r="A663" s="112"/>
      <c r="B663" s="84"/>
    </row>
    <row r="664">
      <c r="A664" s="112"/>
      <c r="B664" s="84"/>
    </row>
    <row r="665">
      <c r="A665" s="112"/>
      <c r="B665" s="84"/>
    </row>
    <row r="666">
      <c r="A666" s="112"/>
      <c r="B666" s="84"/>
    </row>
    <row r="667">
      <c r="A667" s="112"/>
      <c r="B667" s="84"/>
    </row>
    <row r="668">
      <c r="A668" s="112"/>
      <c r="B668" s="84"/>
    </row>
    <row r="669">
      <c r="A669" s="112"/>
      <c r="B669" s="84"/>
    </row>
    <row r="670">
      <c r="A670" s="112"/>
      <c r="B670" s="84"/>
    </row>
    <row r="671">
      <c r="A671" s="112"/>
      <c r="B671" s="84"/>
    </row>
    <row r="672">
      <c r="A672" s="112"/>
      <c r="B672" s="84"/>
    </row>
    <row r="673">
      <c r="A673" s="112"/>
      <c r="B673" s="84"/>
    </row>
    <row r="674">
      <c r="A674" s="112"/>
      <c r="B674" s="84"/>
    </row>
    <row r="675">
      <c r="A675" s="112"/>
      <c r="B675" s="84"/>
    </row>
    <row r="676">
      <c r="A676" s="112"/>
      <c r="B676" s="84"/>
    </row>
    <row r="677">
      <c r="A677" s="112"/>
      <c r="B677" s="84"/>
    </row>
    <row r="678">
      <c r="A678" s="112"/>
      <c r="B678" s="84"/>
    </row>
    <row r="679">
      <c r="A679" s="112"/>
      <c r="B679" s="84"/>
    </row>
    <row r="680">
      <c r="A680" s="112"/>
      <c r="B680" s="84"/>
    </row>
    <row r="681">
      <c r="A681" s="112"/>
      <c r="B681" s="84"/>
    </row>
    <row r="682">
      <c r="A682" s="112"/>
      <c r="B682" s="84"/>
    </row>
    <row r="683">
      <c r="A683" s="112"/>
      <c r="B683" s="84"/>
    </row>
    <row r="684">
      <c r="A684" s="112"/>
      <c r="B684" s="84"/>
    </row>
    <row r="685">
      <c r="A685" s="112"/>
      <c r="B685" s="84"/>
    </row>
    <row r="686">
      <c r="A686" s="112"/>
      <c r="B686" s="84"/>
    </row>
    <row r="687">
      <c r="A687" s="112"/>
      <c r="B687" s="84"/>
    </row>
    <row r="688">
      <c r="A688" s="112"/>
      <c r="B688" s="84"/>
    </row>
    <row r="689">
      <c r="A689" s="112"/>
      <c r="B689" s="84"/>
    </row>
    <row r="690">
      <c r="A690" s="112"/>
      <c r="B690" s="84"/>
    </row>
    <row r="691">
      <c r="A691" s="112"/>
      <c r="B691" s="84"/>
    </row>
    <row r="692">
      <c r="A692" s="112"/>
      <c r="B692" s="84"/>
    </row>
    <row r="693">
      <c r="A693" s="112"/>
      <c r="B693" s="84"/>
    </row>
    <row r="694">
      <c r="A694" s="112"/>
      <c r="B694" s="84"/>
    </row>
    <row r="695">
      <c r="A695" s="112"/>
      <c r="B695" s="84"/>
    </row>
    <row r="696">
      <c r="A696" s="112"/>
      <c r="B696" s="84"/>
    </row>
    <row r="697">
      <c r="A697" s="112"/>
      <c r="B697" s="84"/>
    </row>
    <row r="698">
      <c r="A698" s="112"/>
      <c r="B698" s="84"/>
    </row>
    <row r="699">
      <c r="A699" s="112"/>
      <c r="B699" s="84"/>
    </row>
    <row r="700">
      <c r="A700" s="112"/>
      <c r="B700" s="84"/>
    </row>
    <row r="701">
      <c r="A701" s="112"/>
      <c r="B701" s="84"/>
    </row>
    <row r="702">
      <c r="A702" s="112"/>
      <c r="B702" s="84"/>
    </row>
    <row r="703">
      <c r="A703" s="112"/>
      <c r="B703" s="84"/>
    </row>
    <row r="704">
      <c r="A704" s="112"/>
      <c r="B704" s="84"/>
    </row>
    <row r="705">
      <c r="A705" s="112"/>
      <c r="B705" s="84"/>
    </row>
    <row r="706">
      <c r="A706" s="112"/>
      <c r="B706" s="84"/>
    </row>
    <row r="707">
      <c r="A707" s="112"/>
      <c r="B707" s="84"/>
    </row>
    <row r="708">
      <c r="A708" s="112"/>
      <c r="B708" s="84"/>
    </row>
    <row r="709">
      <c r="A709" s="112"/>
      <c r="B709" s="84"/>
    </row>
    <row r="710">
      <c r="A710" s="112"/>
      <c r="B710" s="84"/>
    </row>
    <row r="711">
      <c r="A711" s="112"/>
      <c r="B711" s="84"/>
    </row>
    <row r="712">
      <c r="A712" s="112"/>
      <c r="B712" s="84"/>
    </row>
    <row r="713">
      <c r="A713" s="112"/>
      <c r="B713" s="84"/>
    </row>
    <row r="714">
      <c r="A714" s="112"/>
      <c r="B714" s="84"/>
    </row>
    <row r="715">
      <c r="A715" s="112"/>
      <c r="B715" s="84"/>
    </row>
    <row r="716">
      <c r="A716" s="112"/>
      <c r="B716" s="84"/>
    </row>
    <row r="717">
      <c r="A717" s="112"/>
      <c r="B717" s="84"/>
    </row>
    <row r="718">
      <c r="A718" s="112"/>
      <c r="B718" s="84"/>
    </row>
    <row r="719">
      <c r="A719" s="112"/>
      <c r="B719" s="84"/>
    </row>
    <row r="720">
      <c r="A720" s="112"/>
      <c r="B720" s="84"/>
    </row>
    <row r="721">
      <c r="A721" s="112"/>
      <c r="B721" s="84"/>
    </row>
    <row r="722">
      <c r="A722" s="112"/>
      <c r="B722" s="84"/>
    </row>
    <row r="723">
      <c r="A723" s="112"/>
      <c r="B723" s="84"/>
    </row>
    <row r="724">
      <c r="A724" s="112"/>
      <c r="B724" s="84"/>
    </row>
    <row r="725">
      <c r="A725" s="112"/>
      <c r="B725" s="84"/>
    </row>
    <row r="726">
      <c r="A726" s="112"/>
      <c r="B726" s="84"/>
    </row>
    <row r="727">
      <c r="A727" s="112"/>
      <c r="B727" s="84"/>
    </row>
    <row r="728">
      <c r="A728" s="112"/>
      <c r="B728" s="84"/>
    </row>
    <row r="729">
      <c r="A729" s="112"/>
      <c r="B729" s="84"/>
    </row>
    <row r="730">
      <c r="A730" s="112"/>
      <c r="B730" s="84"/>
    </row>
    <row r="731">
      <c r="A731" s="112"/>
      <c r="B731" s="84"/>
    </row>
    <row r="732">
      <c r="A732" s="112"/>
      <c r="B732" s="84"/>
    </row>
    <row r="733">
      <c r="A733" s="112"/>
      <c r="B733" s="84"/>
    </row>
    <row r="734">
      <c r="A734" s="112"/>
      <c r="B734" s="84"/>
    </row>
    <row r="735">
      <c r="A735" s="112"/>
      <c r="B735" s="84"/>
    </row>
    <row r="736">
      <c r="A736" s="112"/>
      <c r="B736" s="84"/>
    </row>
    <row r="737">
      <c r="A737" s="112"/>
      <c r="B737" s="84"/>
    </row>
    <row r="738">
      <c r="A738" s="112"/>
      <c r="B738" s="84"/>
    </row>
    <row r="739">
      <c r="A739" s="112"/>
      <c r="B739" s="84"/>
    </row>
    <row r="740">
      <c r="A740" s="112"/>
      <c r="B740" s="84"/>
    </row>
    <row r="741">
      <c r="A741" s="112"/>
      <c r="B741" s="84"/>
    </row>
    <row r="742">
      <c r="A742" s="112"/>
      <c r="B742" s="84"/>
    </row>
    <row r="743">
      <c r="A743" s="112"/>
      <c r="B743" s="84"/>
    </row>
    <row r="744">
      <c r="A744" s="112"/>
      <c r="B744" s="84"/>
    </row>
    <row r="745">
      <c r="A745" s="112"/>
      <c r="B745" s="84"/>
    </row>
    <row r="746">
      <c r="A746" s="112"/>
      <c r="B746" s="84"/>
    </row>
    <row r="747">
      <c r="A747" s="112"/>
      <c r="B747" s="84"/>
    </row>
    <row r="748">
      <c r="A748" s="112"/>
      <c r="B748" s="84"/>
    </row>
    <row r="749">
      <c r="A749" s="112"/>
      <c r="B749" s="84"/>
    </row>
    <row r="750">
      <c r="A750" s="112"/>
      <c r="B750" s="84"/>
    </row>
    <row r="751">
      <c r="A751" s="112"/>
      <c r="B751" s="84"/>
    </row>
    <row r="752">
      <c r="A752" s="112"/>
      <c r="B752" s="84"/>
    </row>
    <row r="753">
      <c r="A753" s="112"/>
      <c r="B753" s="84"/>
    </row>
    <row r="754">
      <c r="A754" s="112"/>
      <c r="B754" s="84"/>
    </row>
    <row r="755">
      <c r="A755" s="112"/>
      <c r="B755" s="84"/>
    </row>
    <row r="756">
      <c r="A756" s="112"/>
      <c r="B756" s="84"/>
    </row>
    <row r="757">
      <c r="A757" s="112"/>
      <c r="B757" s="84"/>
    </row>
    <row r="758">
      <c r="A758" s="112"/>
      <c r="B758" s="84"/>
    </row>
    <row r="759">
      <c r="A759" s="112"/>
      <c r="B759" s="84"/>
    </row>
    <row r="760">
      <c r="A760" s="112"/>
      <c r="B760" s="84"/>
    </row>
    <row r="761">
      <c r="A761" s="112"/>
      <c r="B761" s="84"/>
    </row>
    <row r="762">
      <c r="A762" s="112"/>
      <c r="B762" s="84"/>
    </row>
    <row r="763">
      <c r="A763" s="112"/>
      <c r="B763" s="84"/>
    </row>
    <row r="764">
      <c r="A764" s="112"/>
      <c r="B764" s="84"/>
    </row>
    <row r="765">
      <c r="A765" s="112"/>
      <c r="B765" s="84"/>
    </row>
    <row r="766">
      <c r="A766" s="112"/>
      <c r="B766" s="84"/>
    </row>
    <row r="767">
      <c r="A767" s="112"/>
      <c r="B767" s="84"/>
    </row>
    <row r="768">
      <c r="A768" s="112"/>
      <c r="B768" s="84"/>
    </row>
    <row r="769">
      <c r="A769" s="112"/>
      <c r="B769" s="84"/>
    </row>
    <row r="770">
      <c r="A770" s="112"/>
      <c r="B770" s="84"/>
    </row>
    <row r="771">
      <c r="A771" s="112"/>
      <c r="B771" s="84"/>
    </row>
    <row r="772">
      <c r="A772" s="112"/>
      <c r="B772" s="84"/>
    </row>
    <row r="773">
      <c r="A773" s="112"/>
      <c r="B773" s="84"/>
    </row>
    <row r="774">
      <c r="A774" s="112"/>
      <c r="B774" s="84"/>
    </row>
    <row r="775">
      <c r="A775" s="112"/>
      <c r="B775" s="84"/>
    </row>
    <row r="776">
      <c r="A776" s="112"/>
      <c r="B776" s="84"/>
    </row>
    <row r="777">
      <c r="A777" s="112"/>
      <c r="B777" s="84"/>
    </row>
    <row r="778">
      <c r="A778" s="112"/>
      <c r="B778" s="84"/>
    </row>
    <row r="779">
      <c r="A779" s="112"/>
      <c r="B779" s="84"/>
    </row>
    <row r="780">
      <c r="A780" s="112"/>
      <c r="B780" s="84"/>
    </row>
    <row r="781">
      <c r="A781" s="112"/>
      <c r="B781" s="84"/>
    </row>
    <row r="782">
      <c r="A782" s="112"/>
      <c r="B782" s="84"/>
    </row>
    <row r="783">
      <c r="A783" s="112"/>
      <c r="B783" s="84"/>
    </row>
    <row r="784">
      <c r="A784" s="112"/>
      <c r="B784" s="84"/>
    </row>
    <row r="785">
      <c r="A785" s="112"/>
      <c r="B785" s="84"/>
    </row>
    <row r="786">
      <c r="A786" s="112"/>
      <c r="B786" s="84"/>
    </row>
    <row r="787">
      <c r="A787" s="112"/>
      <c r="B787" s="84"/>
    </row>
    <row r="788">
      <c r="A788" s="112"/>
      <c r="B788" s="84"/>
    </row>
    <row r="789">
      <c r="A789" s="112"/>
      <c r="B789" s="84"/>
    </row>
    <row r="790">
      <c r="A790" s="112"/>
      <c r="B790" s="84"/>
    </row>
    <row r="791">
      <c r="A791" s="112"/>
      <c r="B791" s="84"/>
    </row>
    <row r="792">
      <c r="A792" s="112"/>
      <c r="B792" s="84"/>
    </row>
    <row r="793">
      <c r="A793" s="112"/>
      <c r="B793" s="84"/>
    </row>
    <row r="794">
      <c r="A794" s="112"/>
      <c r="B794" s="84"/>
    </row>
    <row r="795">
      <c r="A795" s="112"/>
      <c r="B795" s="84"/>
    </row>
    <row r="796">
      <c r="A796" s="112"/>
      <c r="B796" s="84"/>
    </row>
    <row r="797">
      <c r="A797" s="112"/>
      <c r="B797" s="84"/>
    </row>
    <row r="798">
      <c r="A798" s="112"/>
      <c r="B798" s="84"/>
    </row>
    <row r="799">
      <c r="A799" s="112"/>
      <c r="B799" s="84"/>
    </row>
    <row r="800">
      <c r="A800" s="112"/>
      <c r="B800" s="84"/>
    </row>
    <row r="801">
      <c r="A801" s="112"/>
      <c r="B801" s="84"/>
    </row>
    <row r="802">
      <c r="A802" s="112"/>
      <c r="B802" s="84"/>
    </row>
    <row r="803">
      <c r="A803" s="112"/>
      <c r="B803" s="84"/>
    </row>
    <row r="804">
      <c r="A804" s="112"/>
      <c r="B804" s="84"/>
    </row>
    <row r="805">
      <c r="A805" s="112"/>
      <c r="B805" s="84"/>
    </row>
    <row r="806">
      <c r="A806" s="112"/>
      <c r="B806" s="84"/>
    </row>
    <row r="807">
      <c r="A807" s="112"/>
      <c r="B807" s="84"/>
    </row>
    <row r="808">
      <c r="A808" s="112"/>
      <c r="B808" s="84"/>
    </row>
    <row r="809">
      <c r="A809" s="112"/>
      <c r="B809" s="84"/>
    </row>
    <row r="810">
      <c r="A810" s="112"/>
      <c r="B810" s="84"/>
    </row>
    <row r="811">
      <c r="A811" s="112"/>
      <c r="B811" s="84"/>
    </row>
    <row r="812">
      <c r="A812" s="112"/>
      <c r="B812" s="84"/>
    </row>
    <row r="813">
      <c r="A813" s="112"/>
      <c r="B813" s="84"/>
    </row>
    <row r="814">
      <c r="A814" s="112"/>
      <c r="B814" s="84"/>
    </row>
    <row r="815">
      <c r="A815" s="112"/>
      <c r="B815" s="84"/>
    </row>
    <row r="816">
      <c r="A816" s="112"/>
      <c r="B816" s="84"/>
    </row>
    <row r="817">
      <c r="A817" s="112"/>
      <c r="B817" s="84"/>
    </row>
    <row r="818">
      <c r="A818" s="112"/>
      <c r="B818" s="84"/>
    </row>
    <row r="819">
      <c r="A819" s="112"/>
      <c r="B819" s="84"/>
    </row>
    <row r="820">
      <c r="A820" s="112"/>
      <c r="B820" s="84"/>
    </row>
    <row r="821">
      <c r="A821" s="112"/>
      <c r="B821" s="84"/>
    </row>
    <row r="822">
      <c r="A822" s="112"/>
      <c r="B822" s="84"/>
    </row>
    <row r="823">
      <c r="A823" s="112"/>
      <c r="B823" s="84"/>
    </row>
    <row r="824">
      <c r="A824" s="112"/>
      <c r="B824" s="84"/>
    </row>
    <row r="825">
      <c r="A825" s="112"/>
      <c r="B825" s="84"/>
    </row>
    <row r="826">
      <c r="A826" s="112"/>
      <c r="B826" s="84"/>
    </row>
    <row r="827">
      <c r="A827" s="112"/>
      <c r="B827" s="84"/>
    </row>
    <row r="828">
      <c r="A828" s="112"/>
      <c r="B828" s="84"/>
    </row>
    <row r="829">
      <c r="A829" s="112"/>
      <c r="B829" s="84"/>
    </row>
    <row r="830">
      <c r="A830" s="112"/>
      <c r="B830" s="84"/>
    </row>
    <row r="831">
      <c r="A831" s="112"/>
      <c r="B831" s="84"/>
    </row>
    <row r="832">
      <c r="A832" s="112"/>
      <c r="B832" s="84"/>
    </row>
    <row r="833">
      <c r="A833" s="112"/>
      <c r="B833" s="84"/>
    </row>
    <row r="834">
      <c r="A834" s="112"/>
      <c r="B834" s="84"/>
    </row>
    <row r="835">
      <c r="A835" s="112"/>
      <c r="B835" s="84"/>
    </row>
    <row r="836">
      <c r="A836" s="112"/>
      <c r="B836" s="84"/>
    </row>
    <row r="837">
      <c r="A837" s="112"/>
      <c r="B837" s="84"/>
    </row>
    <row r="838">
      <c r="A838" s="112"/>
      <c r="B838" s="84"/>
    </row>
    <row r="839">
      <c r="A839" s="112"/>
      <c r="B839" s="84"/>
    </row>
    <row r="840">
      <c r="A840" s="112"/>
      <c r="B840" s="84"/>
    </row>
    <row r="841">
      <c r="A841" s="112"/>
      <c r="B841" s="84"/>
    </row>
    <row r="842">
      <c r="A842" s="112"/>
      <c r="B842" s="84"/>
    </row>
    <row r="843">
      <c r="A843" s="112"/>
      <c r="B843" s="84"/>
    </row>
    <row r="844">
      <c r="A844" s="112"/>
      <c r="B844" s="84"/>
    </row>
    <row r="845">
      <c r="A845" s="112"/>
      <c r="B845" s="84"/>
    </row>
    <row r="846">
      <c r="A846" s="112"/>
      <c r="B846" s="84"/>
    </row>
    <row r="847">
      <c r="A847" s="112"/>
      <c r="B847" s="84"/>
    </row>
    <row r="848">
      <c r="A848" s="112"/>
      <c r="B848" s="84"/>
    </row>
    <row r="849">
      <c r="A849" s="112"/>
      <c r="B849" s="84"/>
    </row>
    <row r="850">
      <c r="A850" s="112"/>
      <c r="B850" s="84"/>
    </row>
    <row r="851">
      <c r="A851" s="112"/>
      <c r="B851" s="84"/>
    </row>
    <row r="852">
      <c r="A852" s="112"/>
      <c r="B852" s="84"/>
    </row>
    <row r="853">
      <c r="A853" s="112"/>
      <c r="B853" s="84"/>
    </row>
    <row r="854">
      <c r="A854" s="112"/>
      <c r="B854" s="84"/>
    </row>
    <row r="855">
      <c r="A855" s="112"/>
      <c r="B855" s="84"/>
    </row>
    <row r="856">
      <c r="A856" s="112"/>
      <c r="B856" s="84"/>
    </row>
    <row r="857">
      <c r="A857" s="112"/>
      <c r="B857" s="84"/>
    </row>
    <row r="858">
      <c r="A858" s="112"/>
      <c r="B858" s="84"/>
    </row>
    <row r="859">
      <c r="A859" s="112"/>
      <c r="B859" s="84"/>
    </row>
    <row r="860">
      <c r="A860" s="112"/>
      <c r="B860" s="84"/>
    </row>
    <row r="861">
      <c r="A861" s="112"/>
      <c r="B861" s="84"/>
    </row>
    <row r="862">
      <c r="A862" s="112"/>
      <c r="B862" s="84"/>
    </row>
    <row r="863">
      <c r="A863" s="112"/>
      <c r="B863" s="84"/>
    </row>
    <row r="864">
      <c r="A864" s="112"/>
      <c r="B864" s="84"/>
    </row>
    <row r="865">
      <c r="A865" s="112"/>
      <c r="B865" s="84"/>
    </row>
    <row r="866">
      <c r="A866" s="112"/>
      <c r="B866" s="84"/>
    </row>
    <row r="867">
      <c r="A867" s="112"/>
      <c r="B867" s="84"/>
    </row>
    <row r="868">
      <c r="A868" s="112"/>
      <c r="B868" s="84"/>
    </row>
    <row r="869">
      <c r="A869" s="112"/>
      <c r="B869" s="84"/>
    </row>
    <row r="870">
      <c r="A870" s="112"/>
      <c r="B870" s="84"/>
    </row>
    <row r="871">
      <c r="A871" s="112"/>
      <c r="B871" s="84"/>
    </row>
    <row r="872">
      <c r="A872" s="112"/>
      <c r="B872" s="84"/>
    </row>
    <row r="873">
      <c r="A873" s="112"/>
      <c r="B873" s="84"/>
    </row>
    <row r="874">
      <c r="A874" s="112"/>
      <c r="B874" s="84"/>
    </row>
    <row r="875">
      <c r="A875" s="112"/>
      <c r="B875" s="84"/>
    </row>
    <row r="876">
      <c r="A876" s="112"/>
      <c r="B876" s="84"/>
    </row>
    <row r="877">
      <c r="A877" s="112"/>
      <c r="B877" s="84"/>
    </row>
    <row r="878">
      <c r="A878" s="112"/>
      <c r="B878" s="84"/>
    </row>
    <row r="879">
      <c r="A879" s="112"/>
      <c r="B879" s="84"/>
    </row>
    <row r="880">
      <c r="A880" s="112"/>
      <c r="B880" s="84"/>
    </row>
    <row r="881">
      <c r="A881" s="112"/>
      <c r="B881" s="84"/>
    </row>
    <row r="882">
      <c r="A882" s="112"/>
      <c r="B882" s="84"/>
    </row>
    <row r="883">
      <c r="A883" s="112"/>
      <c r="B883" s="84"/>
    </row>
    <row r="884">
      <c r="A884" s="112"/>
      <c r="B884" s="84"/>
    </row>
    <row r="885">
      <c r="A885" s="112"/>
      <c r="B885" s="84"/>
    </row>
    <row r="886">
      <c r="A886" s="112"/>
      <c r="B886" s="84"/>
    </row>
    <row r="887">
      <c r="A887" s="112"/>
      <c r="B887" s="84"/>
    </row>
    <row r="888">
      <c r="A888" s="112"/>
      <c r="B888" s="84"/>
    </row>
    <row r="889">
      <c r="A889" s="112"/>
      <c r="B889" s="84"/>
    </row>
    <row r="890">
      <c r="A890" s="112"/>
      <c r="B890" s="84"/>
    </row>
    <row r="891">
      <c r="A891" s="112"/>
      <c r="B891" s="84"/>
    </row>
    <row r="892">
      <c r="A892" s="112"/>
      <c r="B892" s="84"/>
    </row>
    <row r="893">
      <c r="A893" s="112"/>
      <c r="B893" s="84"/>
    </row>
    <row r="894">
      <c r="A894" s="112"/>
      <c r="B894" s="84"/>
    </row>
    <row r="895">
      <c r="A895" s="112"/>
      <c r="B895" s="84"/>
    </row>
    <row r="896">
      <c r="A896" s="112"/>
      <c r="B896" s="84"/>
    </row>
    <row r="897">
      <c r="A897" s="112"/>
      <c r="B897" s="84"/>
    </row>
    <row r="898">
      <c r="A898" s="112"/>
      <c r="B898" s="84"/>
    </row>
    <row r="899">
      <c r="A899" s="112"/>
      <c r="B899" s="84"/>
    </row>
    <row r="900">
      <c r="A900" s="112"/>
      <c r="B900" s="84"/>
    </row>
    <row r="901">
      <c r="A901" s="112"/>
      <c r="B901" s="84"/>
    </row>
    <row r="902">
      <c r="A902" s="112"/>
      <c r="B902" s="84"/>
    </row>
    <row r="903">
      <c r="A903" s="112"/>
      <c r="B903" s="84"/>
    </row>
    <row r="904">
      <c r="A904" s="112"/>
      <c r="B904" s="84"/>
    </row>
    <row r="905">
      <c r="A905" s="112"/>
      <c r="B905" s="84"/>
    </row>
    <row r="906">
      <c r="A906" s="112"/>
      <c r="B906" s="84"/>
    </row>
    <row r="907">
      <c r="A907" s="112"/>
      <c r="B907" s="84"/>
    </row>
    <row r="908">
      <c r="A908" s="112"/>
      <c r="B908" s="84"/>
    </row>
    <row r="909">
      <c r="A909" s="112"/>
      <c r="B909" s="84"/>
    </row>
    <row r="910">
      <c r="A910" s="112"/>
      <c r="B910" s="84"/>
    </row>
    <row r="911">
      <c r="A911" s="112"/>
      <c r="B911" s="84"/>
    </row>
    <row r="912">
      <c r="A912" s="112"/>
      <c r="B912" s="84"/>
    </row>
    <row r="913">
      <c r="A913" s="112"/>
      <c r="B913" s="84"/>
    </row>
    <row r="914">
      <c r="A914" s="112"/>
      <c r="B914" s="84"/>
    </row>
    <row r="915">
      <c r="A915" s="112"/>
      <c r="B915" s="84"/>
    </row>
    <row r="916">
      <c r="A916" s="112"/>
      <c r="B916" s="84"/>
    </row>
    <row r="917">
      <c r="A917" s="112"/>
      <c r="B917" s="84"/>
    </row>
    <row r="918">
      <c r="A918" s="112"/>
      <c r="B918" s="84"/>
    </row>
    <row r="919">
      <c r="A919" s="112"/>
      <c r="B919" s="84"/>
    </row>
    <row r="920">
      <c r="A920" s="112"/>
      <c r="B920" s="84"/>
    </row>
    <row r="921">
      <c r="A921" s="112"/>
      <c r="B921" s="84"/>
    </row>
    <row r="922">
      <c r="A922" s="112"/>
      <c r="B922" s="84"/>
    </row>
    <row r="923">
      <c r="A923" s="112"/>
      <c r="B923" s="84"/>
    </row>
    <row r="924">
      <c r="A924" s="112"/>
      <c r="B924" s="84"/>
    </row>
    <row r="925">
      <c r="A925" s="112"/>
      <c r="B925" s="84"/>
    </row>
    <row r="926">
      <c r="A926" s="112"/>
      <c r="B926" s="84"/>
    </row>
    <row r="927">
      <c r="A927" s="112"/>
      <c r="B927" s="84"/>
    </row>
    <row r="928">
      <c r="A928" s="112"/>
      <c r="B928" s="84"/>
    </row>
    <row r="929">
      <c r="A929" s="112"/>
      <c r="B929" s="84"/>
    </row>
    <row r="930">
      <c r="A930" s="112"/>
      <c r="B930" s="84"/>
    </row>
    <row r="931">
      <c r="A931" s="112"/>
      <c r="B931" s="84"/>
    </row>
    <row r="932">
      <c r="A932" s="112"/>
      <c r="B932" s="84"/>
    </row>
    <row r="933">
      <c r="A933" s="112"/>
      <c r="B933" s="84"/>
    </row>
    <row r="934">
      <c r="A934" s="112"/>
      <c r="B934" s="84"/>
    </row>
    <row r="935">
      <c r="A935" s="112"/>
      <c r="B935" s="84"/>
    </row>
    <row r="936">
      <c r="A936" s="112"/>
      <c r="B936" s="84"/>
    </row>
    <row r="937">
      <c r="A937" s="112"/>
      <c r="B937" s="84"/>
    </row>
    <row r="938">
      <c r="A938" s="112"/>
      <c r="B938" s="84"/>
    </row>
    <row r="939">
      <c r="A939" s="112"/>
      <c r="B939" s="84"/>
    </row>
    <row r="940">
      <c r="A940" s="112"/>
      <c r="B940" s="84"/>
    </row>
    <row r="941">
      <c r="A941" s="112"/>
      <c r="B941" s="84"/>
    </row>
    <row r="942">
      <c r="A942" s="112"/>
      <c r="B942" s="84"/>
    </row>
    <row r="943">
      <c r="A943" s="112"/>
      <c r="B943" s="84"/>
    </row>
    <row r="944">
      <c r="A944" s="112"/>
      <c r="B944" s="84"/>
    </row>
    <row r="945">
      <c r="A945" s="112"/>
      <c r="B945" s="84"/>
    </row>
    <row r="946">
      <c r="A946" s="112"/>
      <c r="B946" s="84"/>
    </row>
    <row r="947">
      <c r="A947" s="112"/>
      <c r="B947" s="84"/>
    </row>
    <row r="948">
      <c r="A948" s="112"/>
      <c r="B948" s="84"/>
    </row>
    <row r="949">
      <c r="A949" s="112"/>
      <c r="B949" s="84"/>
    </row>
    <row r="950">
      <c r="A950" s="112"/>
      <c r="B950" s="84"/>
    </row>
    <row r="951">
      <c r="A951" s="112"/>
      <c r="B951" s="84"/>
    </row>
    <row r="952">
      <c r="A952" s="112"/>
      <c r="B952" s="84"/>
    </row>
    <row r="953">
      <c r="A953" s="112"/>
      <c r="B953" s="84"/>
    </row>
    <row r="954">
      <c r="A954" s="112"/>
      <c r="B954" s="84"/>
    </row>
    <row r="955">
      <c r="A955" s="112"/>
      <c r="B955" s="84"/>
    </row>
    <row r="956">
      <c r="A956" s="112"/>
      <c r="B956" s="84"/>
    </row>
    <row r="957">
      <c r="A957" s="112"/>
      <c r="B957" s="84"/>
    </row>
    <row r="958">
      <c r="A958" s="112"/>
      <c r="B958" s="84"/>
    </row>
    <row r="959">
      <c r="A959" s="112"/>
      <c r="B959" s="84"/>
    </row>
    <row r="960">
      <c r="A960" s="112"/>
      <c r="B960" s="84"/>
    </row>
    <row r="961">
      <c r="A961" s="112"/>
      <c r="B961" s="84"/>
    </row>
    <row r="962">
      <c r="A962" s="112"/>
      <c r="B962" s="84"/>
    </row>
    <row r="963">
      <c r="A963" s="112"/>
      <c r="B963" s="84"/>
    </row>
    <row r="964">
      <c r="A964" s="112"/>
      <c r="B964" s="84"/>
    </row>
    <row r="965">
      <c r="A965" s="112"/>
      <c r="B965" s="84"/>
    </row>
    <row r="966">
      <c r="A966" s="112"/>
      <c r="B966" s="84"/>
    </row>
    <row r="967">
      <c r="A967" s="112"/>
      <c r="B967" s="84"/>
    </row>
    <row r="968">
      <c r="A968" s="112"/>
      <c r="B968" s="84"/>
    </row>
    <row r="969">
      <c r="A969" s="112"/>
      <c r="B969" s="84"/>
    </row>
    <row r="970">
      <c r="A970" s="112"/>
      <c r="B970" s="84"/>
    </row>
    <row r="971">
      <c r="A971" s="112"/>
      <c r="B971" s="84"/>
    </row>
    <row r="972">
      <c r="A972" s="112"/>
      <c r="B972" s="84"/>
    </row>
    <row r="973">
      <c r="A973" s="112"/>
      <c r="B973" s="84"/>
    </row>
    <row r="974">
      <c r="A974" s="112"/>
      <c r="B974" s="84"/>
    </row>
    <row r="975">
      <c r="A975" s="112"/>
      <c r="B975" s="84"/>
    </row>
    <row r="976">
      <c r="A976" s="112"/>
      <c r="B976" s="84"/>
    </row>
    <row r="977">
      <c r="A977" s="112"/>
      <c r="B977" s="84"/>
    </row>
    <row r="978">
      <c r="A978" s="112"/>
      <c r="B978" s="84"/>
    </row>
    <row r="979">
      <c r="A979" s="112"/>
      <c r="B979" s="84"/>
    </row>
    <row r="980">
      <c r="A980" s="112"/>
      <c r="B980" s="84"/>
    </row>
    <row r="981">
      <c r="A981" s="112"/>
      <c r="B981" s="84"/>
    </row>
    <row r="982">
      <c r="A982" s="112"/>
      <c r="B982" s="84"/>
    </row>
    <row r="983">
      <c r="A983" s="112"/>
      <c r="B983" s="84"/>
    </row>
    <row r="984">
      <c r="A984" s="112"/>
      <c r="B984" s="84"/>
    </row>
    <row r="985">
      <c r="A985" s="112"/>
      <c r="B985" s="84"/>
    </row>
    <row r="986">
      <c r="A986" s="112"/>
      <c r="B986" s="84"/>
    </row>
    <row r="987">
      <c r="A987" s="112"/>
      <c r="B987" s="84"/>
    </row>
    <row r="988">
      <c r="A988" s="112"/>
      <c r="B988" s="84"/>
    </row>
    <row r="989">
      <c r="A989" s="112"/>
      <c r="B989" s="84"/>
    </row>
    <row r="990">
      <c r="A990" s="112"/>
      <c r="B990" s="84"/>
    </row>
    <row r="991">
      <c r="A991" s="112"/>
      <c r="B991" s="84"/>
    </row>
    <row r="992">
      <c r="A992" s="112"/>
      <c r="B992" s="84"/>
    </row>
    <row r="993">
      <c r="A993" s="112"/>
      <c r="B993" s="84"/>
    </row>
    <row r="994">
      <c r="A994" s="112"/>
      <c r="B994" s="84"/>
    </row>
    <row r="995">
      <c r="A995" s="112"/>
      <c r="B995" s="84"/>
    </row>
    <row r="996">
      <c r="A996" s="112"/>
      <c r="B996" s="84"/>
    </row>
    <row r="997">
      <c r="A997" s="112"/>
      <c r="B997" s="84"/>
    </row>
    <row r="998">
      <c r="A998" s="112"/>
      <c r="B998" s="84"/>
    </row>
    <row r="999">
      <c r="A999" s="112"/>
      <c r="B999" s="84"/>
    </row>
    <row r="1000">
      <c r="A1000" s="23"/>
      <c r="B1000" s="73"/>
    </row>
    <row r="1001">
      <c r="A1001" s="23"/>
      <c r="B1001" s="73"/>
    </row>
    <row r="1002">
      <c r="A1002" s="23"/>
      <c r="B1002" s="73"/>
    </row>
    <row r="1003">
      <c r="A1003" s="23"/>
      <c r="B1003" s="73"/>
    </row>
    <row r="1004">
      <c r="A1004" s="23"/>
      <c r="B1004" s="73"/>
    </row>
    <row r="1005">
      <c r="A1005" s="23"/>
      <c r="B1005" s="73"/>
    </row>
    <row r="1006">
      <c r="A1006" s="23"/>
      <c r="B1006" s="73"/>
    </row>
    <row r="1007">
      <c r="A1007" s="23"/>
      <c r="B1007" s="73"/>
    </row>
    <row r="1169">
      <c r="A1169" s="112"/>
      <c r="B1169" s="84"/>
    </row>
    <row r="1170">
      <c r="A1170" s="112"/>
      <c r="B1170" s="84"/>
    </row>
    <row r="1171">
      <c r="A1171" s="112"/>
      <c r="B1171" s="84"/>
    </row>
    <row r="1172">
      <c r="A1172" s="112"/>
      <c r="B1172" s="84"/>
    </row>
    <row r="1173">
      <c r="A1173" s="112"/>
      <c r="B1173" s="84"/>
    </row>
    <row r="1174">
      <c r="A1174" s="112"/>
      <c r="B1174" s="84"/>
    </row>
    <row r="1175">
      <c r="A1175" s="112"/>
      <c r="B1175" s="84"/>
    </row>
    <row r="1176">
      <c r="A1176" s="112"/>
      <c r="B1176" s="84"/>
    </row>
    <row r="1177">
      <c r="A1177" s="112"/>
      <c r="B1177" s="84"/>
    </row>
    <row r="1178">
      <c r="A1178" s="112"/>
      <c r="B1178" s="84"/>
    </row>
    <row r="1179">
      <c r="A1179" s="112"/>
      <c r="B1179" s="84"/>
    </row>
    <row r="1180">
      <c r="A1180" s="112"/>
      <c r="B1180" s="84"/>
    </row>
    <row r="1181">
      <c r="A1181" s="112"/>
      <c r="B1181" s="84"/>
    </row>
    <row r="1182">
      <c r="A1182" s="112"/>
      <c r="B1182" s="84"/>
    </row>
    <row r="1183">
      <c r="A1183" s="112"/>
      <c r="B1183" s="84"/>
    </row>
    <row r="1184">
      <c r="A1184" s="112"/>
      <c r="B1184" s="84"/>
    </row>
    <row r="1185">
      <c r="A1185" s="112"/>
      <c r="B1185" s="84"/>
    </row>
    <row r="1186">
      <c r="A1186" s="112"/>
      <c r="B1186" s="84"/>
    </row>
    <row r="1187">
      <c r="A1187" s="112"/>
      <c r="B1187" s="84"/>
    </row>
    <row r="1188">
      <c r="A1188" s="112"/>
      <c r="B1188" s="84"/>
    </row>
    <row r="1189">
      <c r="A1189" s="112"/>
      <c r="B1189" s="84"/>
    </row>
    <row r="1190">
      <c r="A1190" s="112"/>
      <c r="B1190" s="84"/>
    </row>
    <row r="1191">
      <c r="A1191" s="112"/>
      <c r="B1191" s="84"/>
    </row>
    <row r="1192">
      <c r="A1192" s="112"/>
      <c r="B1192" s="84"/>
    </row>
    <row r="1193">
      <c r="A1193" s="112"/>
      <c r="B1193" s="84"/>
    </row>
    <row r="1194">
      <c r="A1194" s="112"/>
      <c r="B1194" s="84"/>
    </row>
    <row r="1195">
      <c r="A1195" s="112"/>
      <c r="B1195" s="84"/>
    </row>
    <row r="1196">
      <c r="A1196" s="112"/>
      <c r="B1196" s="84"/>
    </row>
    <row r="1197">
      <c r="A1197" s="112"/>
      <c r="B1197" s="84"/>
    </row>
    <row r="1198">
      <c r="A1198" s="112"/>
      <c r="B1198" s="84"/>
    </row>
    <row r="1199">
      <c r="A1199" s="112"/>
      <c r="B1199" s="84"/>
    </row>
    <row r="1200">
      <c r="A1200" s="112"/>
      <c r="B1200" s="84"/>
    </row>
    <row r="1201">
      <c r="A1201" s="112"/>
      <c r="B1201" s="84"/>
    </row>
    <row r="1202">
      <c r="A1202" s="112"/>
      <c r="B1202" s="84"/>
    </row>
    <row r="1203">
      <c r="A1203" s="112"/>
      <c r="B1203" s="84"/>
    </row>
    <row r="1204">
      <c r="A1204" s="112"/>
      <c r="B1204" s="84"/>
    </row>
    <row r="1205">
      <c r="A1205" s="112"/>
      <c r="B1205" s="84"/>
    </row>
    <row r="1206">
      <c r="A1206" s="112"/>
      <c r="B1206" s="84"/>
    </row>
    <row r="1207">
      <c r="A1207" s="112"/>
      <c r="B1207" s="84"/>
    </row>
    <row r="1208">
      <c r="A1208" s="112"/>
      <c r="B1208" s="84"/>
    </row>
    <row r="1209">
      <c r="A1209" s="112"/>
      <c r="B1209" s="84"/>
    </row>
    <row r="1210">
      <c r="A1210" s="112"/>
      <c r="B1210" s="84"/>
    </row>
    <row r="1211">
      <c r="A1211" s="112"/>
      <c r="B1211" s="84"/>
    </row>
    <row r="1212">
      <c r="A1212" s="112"/>
      <c r="B1212" s="84"/>
    </row>
    <row r="1213">
      <c r="A1213" s="112"/>
      <c r="B1213" s="84"/>
    </row>
    <row r="1214">
      <c r="A1214" s="112"/>
      <c r="B1214" s="84"/>
    </row>
    <row r="1215">
      <c r="A1215" s="112"/>
      <c r="B1215" s="84"/>
    </row>
    <row r="1216">
      <c r="A1216" s="112"/>
      <c r="B1216" s="84"/>
    </row>
    <row r="1217">
      <c r="A1217" s="112"/>
      <c r="B1217" s="84"/>
    </row>
    <row r="1218">
      <c r="A1218" s="112"/>
      <c r="B1218" s="84"/>
    </row>
    <row r="1219">
      <c r="A1219" s="112"/>
      <c r="B1219" s="84"/>
    </row>
    <row r="1220">
      <c r="A1220" s="112"/>
      <c r="B1220" s="84"/>
    </row>
    <row r="1221">
      <c r="A1221" s="112"/>
      <c r="B1221" s="84"/>
    </row>
    <row r="1222">
      <c r="A1222" s="112"/>
      <c r="B1222" s="84"/>
    </row>
    <row r="1223">
      <c r="A1223" s="112"/>
      <c r="B1223" s="84"/>
    </row>
    <row r="1224">
      <c r="A1224" s="112"/>
      <c r="B1224" s="84"/>
    </row>
    <row r="1225">
      <c r="A1225" s="112"/>
      <c r="B1225" s="84"/>
    </row>
    <row r="1226">
      <c r="A1226" s="112"/>
      <c r="B1226" s="84"/>
    </row>
    <row r="1227">
      <c r="A1227" s="112"/>
      <c r="B1227" s="84"/>
    </row>
    <row r="1228">
      <c r="A1228" s="112"/>
      <c r="B1228" s="84"/>
    </row>
    <row r="1229">
      <c r="A1229" s="112"/>
      <c r="B1229" s="84"/>
    </row>
    <row r="1230">
      <c r="A1230" s="112"/>
      <c r="B1230" s="84"/>
    </row>
    <row r="1231">
      <c r="A1231" s="112"/>
      <c r="B1231" s="84"/>
    </row>
    <row r="1232">
      <c r="A1232" s="112"/>
      <c r="B1232" s="84"/>
    </row>
    <row r="1233">
      <c r="A1233" s="112"/>
      <c r="B1233" s="84"/>
    </row>
    <row r="1234">
      <c r="A1234" s="112"/>
      <c r="B1234" s="84"/>
    </row>
    <row r="1235">
      <c r="A1235" s="112"/>
      <c r="B1235" s="84"/>
    </row>
    <row r="1236">
      <c r="A1236" s="112"/>
      <c r="B1236" s="84"/>
    </row>
    <row r="1237">
      <c r="A1237" s="112"/>
      <c r="B1237" s="84"/>
    </row>
    <row r="1238">
      <c r="A1238" s="112"/>
      <c r="B1238" s="84"/>
    </row>
    <row r="1239">
      <c r="A1239" s="112"/>
      <c r="B1239" s="84"/>
    </row>
    <row r="1240">
      <c r="A1240" s="112"/>
      <c r="B1240" s="84"/>
    </row>
    <row r="1241">
      <c r="A1241" s="112"/>
      <c r="B1241" s="84"/>
    </row>
    <row r="1242">
      <c r="A1242" s="112"/>
      <c r="B1242" s="84"/>
    </row>
    <row r="1243">
      <c r="A1243" s="112"/>
      <c r="B1243" s="84"/>
    </row>
    <row r="1244">
      <c r="A1244" s="112"/>
      <c r="B1244" s="84"/>
    </row>
    <row r="1245">
      <c r="A1245" s="112"/>
      <c r="B1245" s="84"/>
    </row>
    <row r="1246">
      <c r="A1246" s="112"/>
      <c r="B1246" s="84"/>
    </row>
    <row r="1247">
      <c r="A1247" s="112"/>
      <c r="B1247" s="84"/>
    </row>
    <row r="1248">
      <c r="A1248" s="112"/>
      <c r="B1248" s="84"/>
    </row>
    <row r="1249">
      <c r="A1249" s="112"/>
      <c r="B1249" s="84"/>
    </row>
    <row r="1250">
      <c r="A1250" s="112"/>
      <c r="B1250" s="84"/>
    </row>
    <row r="1251">
      <c r="A1251" s="112"/>
      <c r="B1251" s="84"/>
    </row>
    <row r="1252">
      <c r="A1252" s="112"/>
      <c r="B1252" s="84"/>
    </row>
    <row r="1253">
      <c r="A1253" s="112"/>
      <c r="B1253" s="84"/>
    </row>
    <row r="1254">
      <c r="A1254" s="112"/>
      <c r="B1254" s="84"/>
    </row>
    <row r="1255">
      <c r="A1255" s="112"/>
      <c r="B1255" s="84"/>
    </row>
    <row r="1256">
      <c r="A1256" s="112"/>
      <c r="B1256" s="84"/>
    </row>
    <row r="1257">
      <c r="A1257" s="112"/>
      <c r="B1257" s="84"/>
    </row>
    <row r="1258">
      <c r="A1258" s="112"/>
      <c r="B1258" s="84"/>
    </row>
    <row r="1259">
      <c r="A1259" s="112"/>
      <c r="B1259" s="84"/>
    </row>
    <row r="1260">
      <c r="A1260" s="112"/>
      <c r="B1260" s="84"/>
    </row>
    <row r="1261">
      <c r="A1261" s="112"/>
      <c r="B1261" s="84"/>
    </row>
    <row r="1262">
      <c r="A1262" s="112"/>
      <c r="B1262" s="84"/>
    </row>
    <row r="1263">
      <c r="A1263" s="112"/>
      <c r="B1263" s="84"/>
    </row>
    <row r="1264">
      <c r="A1264" s="112"/>
      <c r="B1264" s="84"/>
    </row>
    <row r="1265">
      <c r="A1265" s="112"/>
      <c r="B1265" s="84"/>
    </row>
    <row r="1266">
      <c r="A1266" s="112"/>
      <c r="B1266" s="84"/>
    </row>
    <row r="1267">
      <c r="A1267" s="112"/>
      <c r="B1267" s="84"/>
    </row>
    <row r="1268">
      <c r="A1268" s="112"/>
      <c r="B1268" s="84"/>
    </row>
    <row r="1269">
      <c r="A1269" s="112"/>
      <c r="B1269" s="84"/>
    </row>
    <row r="1270">
      <c r="A1270" s="112"/>
      <c r="B1270" s="84"/>
    </row>
    <row r="1271">
      <c r="A1271" s="112"/>
      <c r="B1271" s="84"/>
    </row>
    <row r="1272">
      <c r="A1272" s="112"/>
      <c r="B1272" s="84"/>
    </row>
    <row r="1273">
      <c r="A1273" s="112"/>
      <c r="B1273" s="84"/>
    </row>
    <row r="1274">
      <c r="A1274" s="112"/>
      <c r="B1274" s="84"/>
    </row>
    <row r="1275">
      <c r="A1275" s="112"/>
      <c r="B1275" s="84"/>
    </row>
    <row r="1276">
      <c r="A1276" s="112"/>
      <c r="B1276" s="84"/>
    </row>
    <row r="1277">
      <c r="A1277" s="112"/>
      <c r="B1277" s="84"/>
    </row>
    <row r="1278">
      <c r="A1278" s="112"/>
      <c r="B1278" s="84"/>
    </row>
    <row r="1279">
      <c r="A1279" s="112"/>
      <c r="B1279" s="84"/>
    </row>
    <row r="1280">
      <c r="A1280" s="112"/>
      <c r="B1280" s="84"/>
    </row>
    <row r="1281">
      <c r="A1281" s="112"/>
      <c r="B1281" s="84"/>
    </row>
    <row r="1282">
      <c r="A1282" s="112"/>
      <c r="B1282" s="84"/>
    </row>
    <row r="1283">
      <c r="A1283" s="112"/>
      <c r="B1283" s="84"/>
    </row>
    <row r="1284">
      <c r="A1284" s="112"/>
      <c r="B1284" s="84"/>
    </row>
    <row r="1285">
      <c r="A1285" s="112"/>
      <c r="B1285" s="84"/>
    </row>
    <row r="1286">
      <c r="A1286" s="112"/>
      <c r="B1286" s="84"/>
    </row>
    <row r="1287">
      <c r="A1287" s="112"/>
      <c r="B1287" s="84"/>
    </row>
    <row r="1288">
      <c r="A1288" s="112"/>
      <c r="B1288" s="84"/>
    </row>
    <row r="1289">
      <c r="A1289" s="112"/>
      <c r="B1289" s="84"/>
    </row>
    <row r="1290">
      <c r="A1290" s="112"/>
      <c r="B1290" s="84"/>
    </row>
    <row r="1291">
      <c r="A1291" s="112"/>
      <c r="B1291" s="84"/>
    </row>
    <row r="1292">
      <c r="A1292" s="112"/>
      <c r="B1292" s="84"/>
    </row>
    <row r="1293">
      <c r="A1293" s="112"/>
      <c r="B1293" s="84"/>
    </row>
    <row r="1294">
      <c r="A1294" s="112"/>
      <c r="B1294" s="84"/>
    </row>
    <row r="1295">
      <c r="A1295" s="112"/>
      <c r="B1295" s="84"/>
    </row>
    <row r="1296">
      <c r="A1296" s="112"/>
      <c r="B1296" s="84"/>
    </row>
    <row r="1297">
      <c r="A1297" s="112"/>
      <c r="B1297" s="84"/>
    </row>
    <row r="1298">
      <c r="A1298" s="112"/>
      <c r="B1298" s="84"/>
    </row>
    <row r="1299">
      <c r="A1299" s="112"/>
      <c r="B1299" s="84"/>
    </row>
    <row r="1300">
      <c r="A1300" s="112"/>
      <c r="B1300" s="84"/>
    </row>
    <row r="1301">
      <c r="A1301" s="112"/>
      <c r="B1301" s="84"/>
    </row>
    <row r="1302">
      <c r="A1302" s="112"/>
      <c r="B1302" s="84"/>
    </row>
    <row r="1303">
      <c r="A1303" s="112"/>
      <c r="B1303" s="84"/>
    </row>
    <row r="1304">
      <c r="A1304" s="112"/>
      <c r="B1304" s="84"/>
    </row>
    <row r="1305">
      <c r="A1305" s="112"/>
      <c r="B1305" s="84"/>
    </row>
    <row r="1306">
      <c r="A1306" s="112"/>
      <c r="B1306" s="84"/>
    </row>
    <row r="1307">
      <c r="A1307" s="112"/>
      <c r="B1307" s="84"/>
    </row>
    <row r="1308">
      <c r="A1308" s="112"/>
      <c r="B1308" s="84"/>
    </row>
    <row r="1309">
      <c r="A1309" s="112"/>
      <c r="B1309" s="84"/>
    </row>
    <row r="1310">
      <c r="A1310" s="112"/>
      <c r="B1310" s="84"/>
    </row>
    <row r="1311">
      <c r="A1311" s="112"/>
      <c r="B1311" s="84"/>
    </row>
    <row r="1312">
      <c r="A1312" s="112"/>
      <c r="B1312" s="84"/>
    </row>
    <row r="1313">
      <c r="A1313" s="112"/>
      <c r="B1313" s="84"/>
    </row>
    <row r="1314">
      <c r="A1314" s="112"/>
      <c r="B1314" s="84"/>
    </row>
    <row r="1315">
      <c r="A1315" s="112"/>
      <c r="B1315" s="84"/>
    </row>
    <row r="1316">
      <c r="A1316" s="112"/>
      <c r="B1316" s="84"/>
    </row>
    <row r="1317">
      <c r="A1317" s="112"/>
      <c r="B1317" s="84"/>
    </row>
    <row r="1318">
      <c r="A1318" s="112"/>
      <c r="B1318" s="84"/>
    </row>
    <row r="1319">
      <c r="A1319" s="112"/>
      <c r="B1319" s="84"/>
    </row>
    <row r="1320">
      <c r="A1320" s="112"/>
      <c r="B1320" s="84"/>
    </row>
    <row r="1321">
      <c r="A1321" s="112"/>
      <c r="B1321" s="84"/>
    </row>
    <row r="1322">
      <c r="A1322" s="112"/>
      <c r="B1322" s="84"/>
    </row>
    <row r="1323">
      <c r="A1323" s="112"/>
      <c r="B1323" s="84"/>
    </row>
    <row r="1324">
      <c r="A1324" s="112"/>
      <c r="B1324" s="84"/>
    </row>
    <row r="1325">
      <c r="A1325" s="112"/>
      <c r="B1325" s="84"/>
    </row>
    <row r="1326">
      <c r="A1326" s="112"/>
      <c r="B1326" s="84"/>
    </row>
    <row r="1327">
      <c r="A1327" s="112"/>
      <c r="B1327" s="84"/>
    </row>
    <row r="1328">
      <c r="A1328" s="112"/>
      <c r="B1328" s="84"/>
    </row>
    <row r="1329">
      <c r="A1329" s="112"/>
      <c r="B1329" s="84"/>
    </row>
    <row r="1330">
      <c r="A1330" s="112"/>
      <c r="B1330" s="84"/>
    </row>
    <row r="1331">
      <c r="A1331" s="112"/>
      <c r="B1331" s="84"/>
    </row>
    <row r="1332">
      <c r="A1332" s="112"/>
      <c r="B1332" s="84"/>
    </row>
    <row r="1333">
      <c r="A1333" s="112"/>
      <c r="B1333" s="84"/>
    </row>
    <row r="1334">
      <c r="A1334" s="112"/>
      <c r="B1334" s="84"/>
    </row>
    <row r="1335">
      <c r="A1335" s="112"/>
      <c r="B1335" s="84"/>
    </row>
    <row r="1336">
      <c r="A1336" s="112"/>
      <c r="B1336" s="84"/>
    </row>
    <row r="1337">
      <c r="A1337" s="112"/>
      <c r="B1337" s="84"/>
    </row>
    <row r="1338">
      <c r="A1338" s="112"/>
      <c r="B1338" s="84"/>
    </row>
    <row r="1339">
      <c r="A1339" s="112"/>
      <c r="B1339" s="84"/>
    </row>
    <row r="1340">
      <c r="A1340" s="112"/>
      <c r="B1340" s="84"/>
    </row>
    <row r="1341">
      <c r="A1341" s="112"/>
      <c r="B1341" s="84"/>
    </row>
    <row r="1342">
      <c r="A1342" s="112"/>
      <c r="B1342" s="84"/>
    </row>
    <row r="1343">
      <c r="A1343" s="112"/>
      <c r="B1343" s="84"/>
    </row>
    <row r="1344">
      <c r="A1344" s="112"/>
      <c r="B1344" s="84"/>
    </row>
    <row r="1345">
      <c r="A1345" s="112"/>
      <c r="B1345" s="84"/>
    </row>
    <row r="1346">
      <c r="A1346" s="112"/>
      <c r="B1346" s="84"/>
    </row>
    <row r="1347">
      <c r="A1347" s="112"/>
      <c r="B1347" s="84"/>
    </row>
    <row r="1348">
      <c r="A1348" s="112"/>
      <c r="B1348" s="84"/>
    </row>
    <row r="1349">
      <c r="A1349" s="112"/>
      <c r="B1349" s="84"/>
    </row>
    <row r="1350">
      <c r="A1350" s="112"/>
      <c r="B1350" s="84"/>
    </row>
    <row r="1351">
      <c r="A1351" s="112"/>
      <c r="B1351" s="84"/>
    </row>
    <row r="1352">
      <c r="A1352" s="112"/>
      <c r="B1352" s="84"/>
    </row>
    <row r="1353">
      <c r="A1353" s="112"/>
      <c r="B1353" s="84"/>
    </row>
    <row r="1354">
      <c r="A1354" s="112"/>
      <c r="B1354" s="84"/>
    </row>
    <row r="1355">
      <c r="A1355" s="112"/>
      <c r="B1355" s="84"/>
    </row>
    <row r="1356">
      <c r="A1356" s="112"/>
      <c r="B1356" s="84"/>
    </row>
    <row r="1357">
      <c r="A1357" s="112"/>
      <c r="B1357" s="84"/>
    </row>
    <row r="1358">
      <c r="A1358" s="112"/>
      <c r="B1358" s="84"/>
    </row>
    <row r="1359">
      <c r="A1359" s="112"/>
      <c r="B1359" s="84"/>
    </row>
    <row r="1360">
      <c r="A1360" s="112"/>
      <c r="B1360" s="84"/>
    </row>
    <row r="1361">
      <c r="A1361" s="112"/>
      <c r="B1361" s="84"/>
    </row>
    <row r="1362">
      <c r="A1362" s="112"/>
      <c r="B1362" s="84"/>
    </row>
    <row r="1363">
      <c r="A1363" s="112"/>
      <c r="B1363" s="84"/>
    </row>
    <row r="1364">
      <c r="A1364" s="112"/>
      <c r="B1364" s="84"/>
    </row>
    <row r="1365">
      <c r="A1365" s="112"/>
      <c r="B1365" s="84"/>
    </row>
    <row r="1366">
      <c r="A1366" s="112"/>
      <c r="B1366" s="84"/>
    </row>
    <row r="1367">
      <c r="A1367" s="112"/>
      <c r="B1367" s="84"/>
    </row>
    <row r="1368">
      <c r="A1368" s="112"/>
      <c r="B1368" s="84"/>
    </row>
    <row r="1369">
      <c r="A1369" s="112"/>
      <c r="B1369" s="84"/>
    </row>
    <row r="1370">
      <c r="A1370" s="112"/>
      <c r="B1370" s="84"/>
    </row>
    <row r="1371">
      <c r="A1371" s="112"/>
      <c r="B1371" s="84"/>
    </row>
    <row r="1372">
      <c r="A1372" s="112"/>
      <c r="B1372" s="84"/>
    </row>
    <row r="1373">
      <c r="A1373" s="112"/>
      <c r="B1373" s="84"/>
    </row>
    <row r="1374">
      <c r="A1374" s="112"/>
      <c r="B1374" s="84"/>
    </row>
    <row r="1375">
      <c r="A1375" s="112"/>
      <c r="B1375" s="84"/>
    </row>
    <row r="1376">
      <c r="A1376" s="112"/>
      <c r="B1376" s="84"/>
    </row>
    <row r="1377">
      <c r="A1377" s="112"/>
      <c r="B1377" s="84"/>
    </row>
    <row r="1378">
      <c r="A1378" s="112"/>
      <c r="B1378" s="84"/>
    </row>
    <row r="1379">
      <c r="A1379" s="112"/>
      <c r="B1379" s="84"/>
    </row>
    <row r="1380">
      <c r="A1380" s="112"/>
      <c r="B1380" s="84"/>
    </row>
    <row r="1381">
      <c r="A1381" s="112"/>
      <c r="B1381" s="84"/>
    </row>
    <row r="1382">
      <c r="A1382" s="112"/>
      <c r="B1382" s="84"/>
    </row>
    <row r="1383">
      <c r="A1383" s="112"/>
      <c r="B1383" s="84"/>
    </row>
    <row r="1384">
      <c r="A1384" s="112"/>
      <c r="B1384" s="84"/>
    </row>
    <row r="1385">
      <c r="A1385" s="112"/>
      <c r="B1385" s="84"/>
    </row>
    <row r="1386">
      <c r="A1386" s="112"/>
      <c r="B1386" s="84"/>
    </row>
    <row r="1387">
      <c r="A1387" s="112"/>
      <c r="B1387" s="84"/>
    </row>
    <row r="1388">
      <c r="A1388" s="112"/>
      <c r="B1388" s="84"/>
    </row>
    <row r="1389">
      <c r="A1389" s="112"/>
      <c r="B1389" s="84"/>
    </row>
    <row r="1390">
      <c r="A1390" s="112"/>
      <c r="B1390" s="84"/>
    </row>
    <row r="1391">
      <c r="A1391" s="112"/>
      <c r="B1391" s="84"/>
    </row>
    <row r="1392">
      <c r="A1392" s="112"/>
      <c r="B1392" s="84"/>
    </row>
    <row r="1393">
      <c r="A1393" s="112"/>
      <c r="B1393" s="84"/>
    </row>
    <row r="1394">
      <c r="A1394" s="112"/>
      <c r="B1394" s="84"/>
    </row>
    <row r="1395">
      <c r="A1395" s="112"/>
      <c r="B1395" s="84"/>
    </row>
    <row r="1396">
      <c r="A1396" s="112"/>
      <c r="B1396" s="84"/>
    </row>
    <row r="1397">
      <c r="A1397" s="112"/>
      <c r="B1397" s="84"/>
    </row>
    <row r="1398">
      <c r="A1398" s="112"/>
      <c r="B1398" s="84"/>
    </row>
    <row r="1399">
      <c r="A1399" s="112"/>
      <c r="B1399" s="84"/>
    </row>
    <row r="1400">
      <c r="A1400" s="112"/>
      <c r="B1400" s="84"/>
    </row>
    <row r="1401">
      <c r="A1401" s="112"/>
      <c r="B1401" s="84"/>
    </row>
    <row r="1402">
      <c r="A1402" s="112"/>
      <c r="B1402" s="84"/>
    </row>
    <row r="1403">
      <c r="A1403" s="112"/>
      <c r="B1403" s="84"/>
    </row>
    <row r="1404">
      <c r="A1404" s="112"/>
      <c r="B1404" s="84"/>
    </row>
    <row r="1405">
      <c r="A1405" s="112"/>
      <c r="B1405" s="84"/>
    </row>
    <row r="1406">
      <c r="A1406" s="112"/>
      <c r="B1406" s="84"/>
    </row>
    <row r="1407">
      <c r="A1407" s="112"/>
      <c r="B1407" s="84"/>
    </row>
    <row r="1408">
      <c r="A1408" s="112"/>
      <c r="B1408" s="84"/>
    </row>
    <row r="1409">
      <c r="A1409" s="112"/>
      <c r="B1409" s="84"/>
    </row>
    <row r="1410">
      <c r="A1410" s="112"/>
      <c r="B1410" s="84"/>
    </row>
    <row r="1411">
      <c r="A1411" s="112"/>
      <c r="B1411" s="84"/>
    </row>
    <row r="1412">
      <c r="A1412" s="112"/>
      <c r="B1412" s="84"/>
    </row>
    <row r="1413">
      <c r="A1413" s="112"/>
      <c r="B1413" s="84"/>
    </row>
    <row r="1414">
      <c r="A1414" s="112"/>
      <c r="B1414" s="84"/>
    </row>
    <row r="1415">
      <c r="A1415" s="112"/>
      <c r="B1415" s="84"/>
    </row>
    <row r="1416">
      <c r="A1416" s="112"/>
      <c r="B1416" s="84"/>
    </row>
    <row r="1417">
      <c r="A1417" s="112"/>
      <c r="B1417" s="84"/>
    </row>
    <row r="1418">
      <c r="A1418" s="112"/>
      <c r="B1418" s="84"/>
    </row>
    <row r="1419">
      <c r="A1419" s="112"/>
      <c r="B1419" s="84"/>
    </row>
    <row r="1420">
      <c r="A1420" s="112"/>
      <c r="B1420" s="84"/>
    </row>
    <row r="1421">
      <c r="A1421" s="112"/>
      <c r="B1421" s="84"/>
    </row>
    <row r="1422">
      <c r="A1422" s="112"/>
      <c r="B1422" s="84"/>
    </row>
    <row r="1423">
      <c r="A1423" s="112"/>
      <c r="B1423" s="84"/>
    </row>
    <row r="1424">
      <c r="A1424" s="112"/>
      <c r="B1424" s="84"/>
    </row>
    <row r="1425">
      <c r="A1425" s="112"/>
      <c r="B1425" s="84"/>
    </row>
    <row r="1426">
      <c r="A1426" s="112"/>
      <c r="B1426" s="84"/>
    </row>
    <row r="1427">
      <c r="A1427" s="112"/>
      <c r="B1427" s="84"/>
    </row>
    <row r="1428">
      <c r="A1428" s="112"/>
      <c r="B1428" s="84"/>
    </row>
    <row r="1429">
      <c r="A1429" s="112"/>
      <c r="B1429" s="84"/>
    </row>
    <row r="1430">
      <c r="A1430" s="112"/>
      <c r="B1430" s="84"/>
    </row>
    <row r="1431">
      <c r="A1431" s="112"/>
      <c r="B1431" s="84"/>
    </row>
    <row r="1432">
      <c r="A1432" s="112"/>
      <c r="B1432" s="84"/>
    </row>
    <row r="1433">
      <c r="A1433" s="112"/>
      <c r="B1433" s="84"/>
    </row>
    <row r="1434">
      <c r="A1434" s="112"/>
      <c r="B1434" s="84"/>
    </row>
    <row r="1435">
      <c r="A1435" s="112"/>
      <c r="B1435" s="84"/>
    </row>
    <row r="1436">
      <c r="A1436" s="112"/>
      <c r="B1436" s="84"/>
    </row>
    <row r="1437">
      <c r="A1437" s="112"/>
      <c r="B1437" s="84"/>
    </row>
    <row r="1438">
      <c r="A1438" s="112"/>
      <c r="B1438" s="84"/>
    </row>
    <row r="1439">
      <c r="A1439" s="112"/>
      <c r="B1439" s="84"/>
    </row>
    <row r="1440">
      <c r="A1440" s="112"/>
      <c r="B1440" s="84"/>
    </row>
    <row r="1441">
      <c r="A1441" s="112"/>
      <c r="B1441" s="84"/>
    </row>
    <row r="1442">
      <c r="A1442" s="112"/>
      <c r="B1442" s="84"/>
    </row>
    <row r="1443">
      <c r="A1443" s="112"/>
      <c r="B1443" s="84"/>
    </row>
    <row r="1444">
      <c r="A1444" s="112"/>
      <c r="B1444" s="84"/>
    </row>
    <row r="1445">
      <c r="A1445" s="112"/>
      <c r="B1445" s="84"/>
    </row>
    <row r="1446">
      <c r="A1446" s="112"/>
      <c r="B1446" s="84"/>
    </row>
    <row r="1447">
      <c r="A1447" s="112"/>
      <c r="B1447" s="84"/>
    </row>
    <row r="1448">
      <c r="A1448" s="112"/>
      <c r="B1448" s="84"/>
    </row>
    <row r="1449">
      <c r="A1449" s="112"/>
      <c r="B1449" s="84"/>
    </row>
    <row r="1450">
      <c r="A1450" s="112"/>
      <c r="B1450" s="84"/>
    </row>
    <row r="1451">
      <c r="A1451" s="112"/>
      <c r="B1451" s="84"/>
    </row>
    <row r="1452">
      <c r="A1452" s="112"/>
      <c r="B1452" s="84"/>
    </row>
    <row r="1453">
      <c r="A1453" s="112"/>
      <c r="B1453" s="84"/>
    </row>
    <row r="1454">
      <c r="A1454" s="112"/>
      <c r="B1454" s="84"/>
    </row>
    <row r="1455">
      <c r="A1455" s="112"/>
      <c r="B1455" s="84"/>
    </row>
    <row r="1456">
      <c r="A1456" s="112"/>
      <c r="B1456" s="84"/>
    </row>
    <row r="1457">
      <c r="A1457" s="112"/>
      <c r="B1457" s="84"/>
    </row>
    <row r="1458">
      <c r="A1458" s="112"/>
      <c r="B1458" s="84"/>
    </row>
    <row r="1459">
      <c r="A1459" s="112"/>
      <c r="B1459" s="84"/>
    </row>
    <row r="1460">
      <c r="A1460" s="112"/>
      <c r="B1460" s="84"/>
    </row>
    <row r="1461">
      <c r="A1461" s="112"/>
      <c r="B1461" s="84"/>
    </row>
    <row r="1462">
      <c r="A1462" s="112"/>
      <c r="B1462" s="84"/>
    </row>
    <row r="1463">
      <c r="A1463" s="112"/>
      <c r="B1463" s="84"/>
    </row>
    <row r="1464">
      <c r="A1464" s="112"/>
      <c r="B1464" s="84"/>
    </row>
    <row r="1465">
      <c r="A1465" s="112"/>
      <c r="B1465" s="84"/>
    </row>
    <row r="1466">
      <c r="A1466" s="112"/>
      <c r="B1466" s="84"/>
    </row>
    <row r="1467">
      <c r="A1467" s="112"/>
      <c r="B1467" s="84"/>
    </row>
    <row r="1468">
      <c r="A1468" s="112"/>
      <c r="B1468" s="84"/>
    </row>
    <row r="1469">
      <c r="A1469" s="112"/>
      <c r="B1469" s="84"/>
    </row>
    <row r="1470">
      <c r="A1470" s="112"/>
      <c r="B1470" s="84"/>
    </row>
    <row r="1471">
      <c r="A1471" s="112"/>
      <c r="B1471" s="84"/>
    </row>
    <row r="1472">
      <c r="A1472" s="112"/>
      <c r="B1472" s="84"/>
    </row>
    <row r="1473">
      <c r="A1473" s="112"/>
      <c r="B1473" s="84"/>
    </row>
    <row r="1474">
      <c r="A1474" s="112"/>
      <c r="B1474" s="84"/>
    </row>
    <row r="1475">
      <c r="A1475" s="112"/>
      <c r="B1475" s="84"/>
    </row>
    <row r="1476">
      <c r="A1476" s="112"/>
      <c r="B1476" s="84"/>
    </row>
    <row r="1477">
      <c r="A1477" s="112"/>
      <c r="B1477" s="84"/>
    </row>
    <row r="1478">
      <c r="A1478" s="112"/>
      <c r="B1478" s="84"/>
    </row>
    <row r="1479">
      <c r="A1479" s="112"/>
      <c r="B1479" s="84"/>
    </row>
    <row r="1480">
      <c r="A1480" s="112"/>
      <c r="B1480" s="84"/>
    </row>
    <row r="1481">
      <c r="A1481" s="112"/>
      <c r="B1481" s="84"/>
    </row>
    <row r="1482">
      <c r="A1482" s="112"/>
      <c r="B1482" s="84"/>
    </row>
    <row r="1483">
      <c r="A1483" s="112"/>
      <c r="B1483" s="84"/>
    </row>
    <row r="1484">
      <c r="A1484" s="112"/>
      <c r="B1484" s="84"/>
    </row>
    <row r="1485">
      <c r="A1485" s="112"/>
      <c r="B1485" s="84"/>
    </row>
    <row r="1486">
      <c r="A1486" s="112"/>
      <c r="B1486" s="84"/>
    </row>
    <row r="1487">
      <c r="A1487" s="112"/>
      <c r="B1487" s="84"/>
    </row>
    <row r="1488">
      <c r="A1488" s="112"/>
      <c r="B1488" s="84"/>
    </row>
    <row r="1489">
      <c r="A1489" s="112"/>
      <c r="B1489" s="84"/>
    </row>
    <row r="1490">
      <c r="A1490" s="112"/>
      <c r="B1490" s="84"/>
    </row>
    <row r="1491">
      <c r="A1491" s="112"/>
      <c r="B1491" s="84"/>
    </row>
    <row r="1492">
      <c r="A1492" s="112"/>
      <c r="B1492" s="84"/>
    </row>
    <row r="1493">
      <c r="A1493" s="112"/>
      <c r="B1493" s="84"/>
    </row>
    <row r="1494">
      <c r="A1494" s="112"/>
      <c r="B1494" s="84"/>
    </row>
    <row r="1495">
      <c r="A1495" s="112"/>
      <c r="B1495" s="84"/>
    </row>
    <row r="1496">
      <c r="A1496" s="112"/>
      <c r="B1496" s="84"/>
    </row>
    <row r="1497">
      <c r="A1497" s="112"/>
      <c r="B1497" s="84"/>
    </row>
    <row r="1498">
      <c r="A1498" s="112"/>
      <c r="B1498" s="84"/>
    </row>
    <row r="1499">
      <c r="A1499" s="112"/>
      <c r="B1499" s="84"/>
    </row>
    <row r="1500">
      <c r="A1500" s="112"/>
      <c r="B1500" s="84"/>
    </row>
    <row r="1501">
      <c r="A1501" s="112"/>
      <c r="B1501" s="84"/>
    </row>
    <row r="1502">
      <c r="A1502" s="112"/>
      <c r="B1502" s="84"/>
    </row>
    <row r="1503">
      <c r="A1503" s="112"/>
      <c r="B1503" s="84"/>
    </row>
    <row r="1504">
      <c r="A1504" s="112"/>
      <c r="B1504" s="84"/>
    </row>
    <row r="1505">
      <c r="A1505" s="112"/>
      <c r="B1505" s="84"/>
    </row>
    <row r="1506">
      <c r="A1506" s="112"/>
      <c r="B1506" s="84"/>
    </row>
    <row r="1507">
      <c r="A1507" s="112"/>
      <c r="B1507" s="84"/>
    </row>
    <row r="1508">
      <c r="A1508" s="112"/>
      <c r="B1508" s="84"/>
    </row>
    <row r="1509">
      <c r="A1509" s="112"/>
      <c r="B1509" s="84"/>
    </row>
    <row r="1510">
      <c r="A1510" s="112"/>
      <c r="B1510" s="84"/>
    </row>
    <row r="1511">
      <c r="A1511" s="112"/>
      <c r="B1511" s="84"/>
    </row>
    <row r="1512">
      <c r="A1512" s="112"/>
      <c r="B1512" s="84"/>
    </row>
    <row r="1513">
      <c r="A1513" s="112"/>
      <c r="B1513" s="84"/>
    </row>
    <row r="1514">
      <c r="A1514" s="112"/>
      <c r="B1514" s="84"/>
    </row>
    <row r="1515">
      <c r="A1515" s="112"/>
      <c r="B1515" s="84"/>
    </row>
    <row r="1516">
      <c r="A1516" s="112"/>
      <c r="B1516" s="84"/>
    </row>
    <row r="1517">
      <c r="A1517" s="112"/>
      <c r="B1517" s="84"/>
    </row>
    <row r="1518">
      <c r="A1518" s="112"/>
      <c r="B1518" s="84"/>
    </row>
    <row r="1519">
      <c r="A1519" s="112"/>
      <c r="B1519" s="84"/>
    </row>
    <row r="1520">
      <c r="A1520" s="112"/>
      <c r="B1520" s="84"/>
    </row>
    <row r="1521">
      <c r="A1521" s="112"/>
      <c r="B1521" s="84"/>
    </row>
    <row r="1522">
      <c r="A1522" s="112"/>
      <c r="B1522" s="84"/>
    </row>
    <row r="1523">
      <c r="A1523" s="112"/>
      <c r="B1523" s="84"/>
    </row>
    <row r="1524">
      <c r="A1524" s="112"/>
      <c r="B1524" s="84"/>
    </row>
    <row r="1525">
      <c r="A1525" s="112"/>
      <c r="B1525" s="84"/>
    </row>
    <row r="1526">
      <c r="A1526" s="112"/>
      <c r="B1526" s="84"/>
    </row>
    <row r="1527">
      <c r="A1527" s="112"/>
      <c r="B1527" s="84"/>
    </row>
    <row r="1528">
      <c r="A1528" s="112"/>
      <c r="B1528" s="84"/>
    </row>
    <row r="1529">
      <c r="A1529" s="112"/>
      <c r="B1529" s="84"/>
    </row>
    <row r="1530">
      <c r="A1530" s="112"/>
      <c r="B1530" s="84"/>
    </row>
    <row r="1531">
      <c r="A1531" s="112"/>
      <c r="B1531" s="84"/>
    </row>
    <row r="1532">
      <c r="A1532" s="112"/>
      <c r="B1532" s="84"/>
    </row>
    <row r="1533">
      <c r="A1533" s="112"/>
      <c r="B1533" s="84"/>
    </row>
    <row r="1534">
      <c r="A1534" s="112"/>
      <c r="B1534" s="84"/>
    </row>
    <row r="1535">
      <c r="A1535" s="112"/>
      <c r="B1535" s="84"/>
    </row>
    <row r="1536">
      <c r="A1536" s="112"/>
      <c r="B1536" s="84"/>
    </row>
    <row r="1537">
      <c r="A1537" s="112"/>
      <c r="B1537" s="84"/>
    </row>
    <row r="1538">
      <c r="A1538" s="112"/>
      <c r="B1538" s="84"/>
    </row>
    <row r="1539">
      <c r="A1539" s="112"/>
      <c r="B1539" s="84"/>
    </row>
    <row r="1540">
      <c r="A1540" s="112"/>
      <c r="B1540" s="84"/>
    </row>
    <row r="1541">
      <c r="A1541" s="112"/>
      <c r="B1541" s="84"/>
    </row>
    <row r="1542">
      <c r="A1542" s="112"/>
      <c r="B1542" s="84"/>
    </row>
    <row r="1543">
      <c r="A1543" s="112"/>
      <c r="B1543" s="84"/>
    </row>
    <row r="1544">
      <c r="A1544" s="112"/>
      <c r="B1544" s="84"/>
    </row>
    <row r="1545">
      <c r="A1545" s="112"/>
      <c r="B1545" s="84"/>
    </row>
    <row r="1546">
      <c r="A1546" s="112"/>
      <c r="B1546" s="84"/>
    </row>
    <row r="1547">
      <c r="A1547" s="112"/>
      <c r="B1547" s="84"/>
    </row>
    <row r="1548">
      <c r="A1548" s="112"/>
      <c r="B1548" s="84"/>
    </row>
    <row r="1549">
      <c r="A1549" s="112"/>
      <c r="B1549" s="84"/>
    </row>
    <row r="1550">
      <c r="A1550" s="112"/>
      <c r="B1550" s="84"/>
    </row>
    <row r="1551">
      <c r="A1551" s="112"/>
      <c r="B1551" s="84"/>
    </row>
    <row r="1552">
      <c r="A1552" s="112"/>
      <c r="B1552" s="84"/>
    </row>
    <row r="1553">
      <c r="A1553" s="112"/>
      <c r="B1553" s="84"/>
    </row>
    <row r="1554">
      <c r="A1554" s="112"/>
      <c r="B1554" s="84"/>
    </row>
    <row r="1555">
      <c r="A1555" s="112"/>
      <c r="B1555" s="84"/>
    </row>
    <row r="1556">
      <c r="A1556" s="112"/>
      <c r="B1556" s="84"/>
    </row>
    <row r="1557">
      <c r="A1557" s="112"/>
      <c r="B1557" s="84"/>
    </row>
    <row r="1558">
      <c r="A1558" s="112"/>
      <c r="B1558" s="84"/>
    </row>
    <row r="1559">
      <c r="A1559" s="112"/>
      <c r="B1559" s="84"/>
    </row>
    <row r="1560">
      <c r="A1560" s="112"/>
      <c r="B1560" s="84"/>
    </row>
    <row r="1561">
      <c r="A1561" s="112"/>
      <c r="B1561" s="84"/>
    </row>
    <row r="1562">
      <c r="A1562" s="112"/>
      <c r="B1562" s="84"/>
    </row>
    <row r="1563">
      <c r="A1563" s="112"/>
      <c r="B1563" s="84"/>
    </row>
    <row r="1564">
      <c r="A1564" s="112"/>
      <c r="B1564" s="84"/>
    </row>
    <row r="1565">
      <c r="A1565" s="112"/>
      <c r="B1565" s="84"/>
    </row>
    <row r="1566">
      <c r="A1566" s="112"/>
      <c r="B1566" s="84"/>
    </row>
    <row r="1567">
      <c r="A1567" s="112"/>
      <c r="B1567" s="84"/>
    </row>
    <row r="1568">
      <c r="A1568" s="112"/>
      <c r="B1568" s="84"/>
    </row>
    <row r="1569">
      <c r="A1569" s="112"/>
      <c r="B1569" s="84"/>
    </row>
    <row r="1570">
      <c r="A1570" s="112"/>
      <c r="B1570" s="84"/>
    </row>
    <row r="1571">
      <c r="A1571" s="112"/>
      <c r="B1571" s="84"/>
    </row>
    <row r="1572">
      <c r="A1572" s="112"/>
      <c r="B1572" s="84"/>
    </row>
    <row r="1573">
      <c r="A1573" s="112"/>
      <c r="B1573" s="84"/>
    </row>
    <row r="1574">
      <c r="A1574" s="112"/>
      <c r="B1574" s="84"/>
    </row>
    <row r="1575">
      <c r="A1575" s="112"/>
      <c r="B1575" s="84"/>
    </row>
    <row r="1576">
      <c r="A1576" s="112"/>
      <c r="B1576" s="84"/>
    </row>
    <row r="1577">
      <c r="A1577" s="112"/>
      <c r="B1577" s="84"/>
    </row>
    <row r="1578">
      <c r="A1578" s="112"/>
      <c r="B1578" s="84"/>
    </row>
    <row r="1579">
      <c r="A1579" s="112"/>
      <c r="B1579" s="84"/>
    </row>
    <row r="1580">
      <c r="A1580" s="112"/>
      <c r="B1580" s="84"/>
    </row>
    <row r="1581">
      <c r="A1581" s="112"/>
      <c r="B1581" s="84"/>
    </row>
    <row r="1582">
      <c r="A1582" s="112"/>
      <c r="B1582" s="84"/>
    </row>
    <row r="1583">
      <c r="A1583" s="112"/>
      <c r="B1583" s="84"/>
    </row>
    <row r="1584">
      <c r="A1584" s="112"/>
      <c r="B1584" s="84"/>
    </row>
    <row r="1585">
      <c r="A1585" s="112"/>
      <c r="B1585" s="84"/>
    </row>
    <row r="1586">
      <c r="A1586" s="112"/>
      <c r="B1586" s="84"/>
    </row>
    <row r="1587">
      <c r="A1587" s="112"/>
      <c r="B1587" s="84"/>
    </row>
    <row r="1588">
      <c r="A1588" s="112"/>
      <c r="B1588" s="84"/>
    </row>
    <row r="1589">
      <c r="A1589" s="112"/>
      <c r="B1589" s="84"/>
    </row>
    <row r="1590">
      <c r="A1590" s="112"/>
      <c r="B1590" s="84"/>
    </row>
    <row r="1591">
      <c r="A1591" s="112"/>
      <c r="B1591" s="84"/>
    </row>
    <row r="1592">
      <c r="A1592" s="112"/>
      <c r="B1592" s="84"/>
    </row>
    <row r="1593">
      <c r="A1593" s="112"/>
      <c r="B1593" s="84"/>
    </row>
    <row r="1594">
      <c r="A1594" s="112"/>
      <c r="B1594" s="84"/>
    </row>
    <row r="1595">
      <c r="A1595" s="112"/>
      <c r="B1595" s="84"/>
    </row>
    <row r="1596">
      <c r="A1596" s="112"/>
      <c r="B1596" s="84"/>
    </row>
    <row r="1597">
      <c r="A1597" s="112"/>
      <c r="B1597" s="84"/>
    </row>
    <row r="1598">
      <c r="A1598" s="112"/>
      <c r="B1598" s="84"/>
    </row>
    <row r="1599">
      <c r="A1599" s="112"/>
      <c r="B1599" s="84"/>
    </row>
    <row r="1600">
      <c r="A1600" s="112"/>
      <c r="B1600" s="84"/>
    </row>
    <row r="1601">
      <c r="A1601" s="112"/>
      <c r="B1601" s="84"/>
    </row>
    <row r="1602">
      <c r="A1602" s="112"/>
      <c r="B1602" s="84"/>
    </row>
    <row r="1603">
      <c r="A1603" s="112"/>
      <c r="B1603" s="84"/>
    </row>
    <row r="1604">
      <c r="A1604" s="112"/>
      <c r="B1604" s="84"/>
    </row>
    <row r="1605">
      <c r="A1605" s="112"/>
      <c r="B1605" s="84"/>
    </row>
    <row r="1606">
      <c r="A1606" s="112"/>
      <c r="B1606" s="84"/>
    </row>
    <row r="1607">
      <c r="A1607" s="112"/>
      <c r="B1607" s="84"/>
    </row>
    <row r="1608">
      <c r="A1608" s="112"/>
      <c r="B1608" s="84"/>
    </row>
    <row r="1609">
      <c r="A1609" s="112"/>
      <c r="B1609" s="84"/>
    </row>
    <row r="1610">
      <c r="A1610" s="112"/>
      <c r="B1610" s="84"/>
    </row>
    <row r="1611">
      <c r="A1611" s="112"/>
      <c r="B1611" s="84"/>
    </row>
    <row r="1612">
      <c r="A1612" s="112"/>
      <c r="B1612" s="84"/>
    </row>
    <row r="1613">
      <c r="A1613" s="112"/>
      <c r="B1613" s="84"/>
    </row>
    <row r="1614">
      <c r="A1614" s="112"/>
      <c r="B1614" s="84"/>
    </row>
    <row r="1615">
      <c r="A1615" s="112"/>
      <c r="B1615" s="84"/>
    </row>
    <row r="1616">
      <c r="A1616" s="112"/>
      <c r="B1616" s="84"/>
    </row>
    <row r="1617">
      <c r="A1617" s="112"/>
      <c r="B1617" s="84"/>
    </row>
    <row r="1618">
      <c r="A1618" s="112"/>
      <c r="B1618" s="84"/>
    </row>
    <row r="1619">
      <c r="A1619" s="112"/>
      <c r="B1619" s="84"/>
    </row>
    <row r="1620">
      <c r="A1620" s="112"/>
      <c r="B1620" s="84"/>
    </row>
    <row r="1621">
      <c r="A1621" s="112"/>
      <c r="B1621" s="84"/>
    </row>
    <row r="1622">
      <c r="A1622" s="112"/>
      <c r="B1622" s="84"/>
    </row>
    <row r="1623">
      <c r="A1623" s="112"/>
      <c r="B1623" s="84"/>
    </row>
    <row r="1624">
      <c r="A1624" s="112"/>
      <c r="B1624" s="84"/>
    </row>
    <row r="1625">
      <c r="A1625" s="112"/>
      <c r="B1625" s="84"/>
    </row>
    <row r="1626">
      <c r="A1626" s="112"/>
      <c r="B1626" s="84"/>
    </row>
    <row r="1627">
      <c r="A1627" s="112"/>
      <c r="B1627" s="84"/>
    </row>
    <row r="1628">
      <c r="A1628" s="112"/>
      <c r="B1628" s="84"/>
    </row>
    <row r="1629">
      <c r="A1629" s="112"/>
      <c r="B1629" s="84"/>
    </row>
    <row r="1630">
      <c r="A1630" s="112"/>
      <c r="B1630" s="84"/>
    </row>
    <row r="1631">
      <c r="A1631" s="112"/>
      <c r="B1631" s="84"/>
    </row>
    <row r="1632">
      <c r="A1632" s="112"/>
      <c r="B1632" s="84"/>
    </row>
    <row r="1633">
      <c r="A1633" s="112"/>
      <c r="B1633" s="84"/>
    </row>
    <row r="1634">
      <c r="A1634" s="112"/>
      <c r="B1634" s="84"/>
    </row>
    <row r="1635">
      <c r="A1635" s="112"/>
      <c r="B1635" s="84"/>
    </row>
    <row r="1636">
      <c r="A1636" s="112"/>
      <c r="B1636" s="84"/>
    </row>
    <row r="1637">
      <c r="A1637" s="112"/>
      <c r="B1637" s="84"/>
    </row>
    <row r="1638">
      <c r="A1638" s="112"/>
      <c r="B1638" s="84"/>
    </row>
    <row r="1639">
      <c r="A1639" s="112"/>
      <c r="B1639" s="84"/>
    </row>
    <row r="1640">
      <c r="A1640" s="112"/>
      <c r="B1640" s="84"/>
    </row>
    <row r="1641">
      <c r="A1641" s="112"/>
      <c r="B1641" s="84"/>
    </row>
    <row r="1642">
      <c r="A1642" s="112"/>
      <c r="B1642" s="84"/>
    </row>
    <row r="1643">
      <c r="A1643" s="112"/>
      <c r="B1643" s="84"/>
    </row>
    <row r="1644">
      <c r="A1644" s="112"/>
      <c r="B1644" s="84"/>
    </row>
    <row r="1645">
      <c r="A1645" s="112"/>
      <c r="B1645" s="84"/>
    </row>
    <row r="1646">
      <c r="A1646" s="112"/>
      <c r="B1646" s="84"/>
    </row>
    <row r="1647">
      <c r="A1647" s="112"/>
      <c r="B1647" s="84"/>
    </row>
    <row r="1648">
      <c r="A1648" s="112"/>
      <c r="B1648" s="84"/>
    </row>
    <row r="1649">
      <c r="A1649" s="112"/>
      <c r="B1649" s="84"/>
    </row>
    <row r="1650">
      <c r="A1650" s="112"/>
      <c r="B1650" s="84"/>
    </row>
    <row r="1651">
      <c r="A1651" s="112"/>
      <c r="B1651" s="84"/>
    </row>
    <row r="1652">
      <c r="A1652" s="112"/>
      <c r="B1652" s="84"/>
    </row>
    <row r="1653">
      <c r="A1653" s="112"/>
      <c r="B1653" s="84"/>
    </row>
    <row r="1654">
      <c r="A1654" s="112"/>
      <c r="B1654" s="84"/>
    </row>
    <row r="1655">
      <c r="A1655" s="112"/>
      <c r="B1655" s="84"/>
    </row>
    <row r="1656">
      <c r="A1656" s="112"/>
      <c r="B1656" s="84"/>
    </row>
    <row r="1657">
      <c r="A1657" s="112"/>
      <c r="B1657" s="84"/>
    </row>
    <row r="1658">
      <c r="A1658" s="112"/>
      <c r="B1658" s="84"/>
    </row>
    <row r="1659">
      <c r="A1659" s="112"/>
      <c r="B1659" s="84"/>
    </row>
    <row r="1660">
      <c r="A1660" s="112"/>
      <c r="B1660" s="84"/>
    </row>
    <row r="1661">
      <c r="A1661" s="112"/>
      <c r="B1661" s="84"/>
    </row>
    <row r="1662">
      <c r="A1662" s="112"/>
      <c r="B1662" s="84"/>
    </row>
    <row r="1663">
      <c r="A1663" s="112"/>
      <c r="B1663" s="84"/>
    </row>
    <row r="1664">
      <c r="A1664" s="112"/>
      <c r="B1664" s="84"/>
    </row>
    <row r="1665">
      <c r="A1665" s="112"/>
      <c r="B1665" s="84"/>
    </row>
    <row r="1666">
      <c r="A1666" s="112"/>
      <c r="B1666" s="84"/>
    </row>
    <row r="1667">
      <c r="A1667" s="112"/>
      <c r="B1667" s="84"/>
    </row>
    <row r="1668">
      <c r="A1668" s="112"/>
      <c r="B1668" s="84"/>
    </row>
    <row r="1669">
      <c r="A1669" s="112"/>
      <c r="B1669" s="84"/>
    </row>
    <row r="1670">
      <c r="A1670" s="112"/>
      <c r="B1670" s="84"/>
    </row>
    <row r="1671">
      <c r="A1671" s="112"/>
      <c r="B1671" s="84"/>
    </row>
    <row r="1672">
      <c r="A1672" s="112"/>
      <c r="B1672" s="84"/>
    </row>
    <row r="1673">
      <c r="A1673" s="112"/>
      <c r="B1673" s="84"/>
    </row>
    <row r="1674">
      <c r="A1674" s="112"/>
      <c r="B1674" s="84"/>
    </row>
    <row r="1675">
      <c r="A1675" s="112"/>
      <c r="B1675" s="84"/>
    </row>
    <row r="1676">
      <c r="A1676" s="112"/>
      <c r="B1676" s="84"/>
    </row>
    <row r="1677">
      <c r="A1677" s="112"/>
      <c r="B1677" s="84"/>
    </row>
    <row r="1678">
      <c r="A1678" s="112"/>
      <c r="B1678" s="84"/>
    </row>
    <row r="1679">
      <c r="A1679" s="112"/>
      <c r="B1679" s="84"/>
    </row>
    <row r="1680">
      <c r="A1680" s="112"/>
      <c r="B1680" s="84"/>
    </row>
    <row r="1681">
      <c r="A1681" s="112"/>
      <c r="B1681" s="84"/>
    </row>
    <row r="1682">
      <c r="A1682" s="112"/>
      <c r="B1682" s="84"/>
    </row>
    <row r="1683">
      <c r="A1683" s="112"/>
      <c r="B1683" s="84"/>
    </row>
    <row r="1684">
      <c r="A1684" s="112"/>
      <c r="B1684" s="84"/>
    </row>
    <row r="1685">
      <c r="A1685" s="112"/>
      <c r="B1685" s="84"/>
    </row>
    <row r="1686">
      <c r="A1686" s="112"/>
      <c r="B1686" s="84"/>
    </row>
    <row r="1687">
      <c r="A1687" s="112"/>
      <c r="B1687" s="84"/>
    </row>
    <row r="1688">
      <c r="A1688" s="112"/>
      <c r="B1688" s="84"/>
    </row>
    <row r="1689">
      <c r="A1689" s="112"/>
      <c r="B1689" s="84"/>
    </row>
    <row r="1690">
      <c r="A1690" s="112"/>
      <c r="B1690" s="84"/>
    </row>
    <row r="1691">
      <c r="A1691" s="112"/>
      <c r="B1691" s="84"/>
    </row>
    <row r="1692">
      <c r="A1692" s="112"/>
      <c r="B1692" s="84"/>
    </row>
    <row r="1693">
      <c r="A1693" s="112"/>
      <c r="B1693" s="84"/>
    </row>
    <row r="1694">
      <c r="A1694" s="112"/>
      <c r="B1694" s="84"/>
    </row>
    <row r="1695">
      <c r="A1695" s="112"/>
      <c r="B1695" s="84"/>
    </row>
    <row r="1696">
      <c r="A1696" s="112"/>
      <c r="B1696" s="84"/>
    </row>
    <row r="1697">
      <c r="A1697" s="112"/>
      <c r="B1697" s="84"/>
    </row>
    <row r="1698">
      <c r="A1698" s="112"/>
      <c r="B1698" s="84"/>
    </row>
    <row r="1699">
      <c r="A1699" s="112"/>
      <c r="B1699" s="84"/>
    </row>
    <row r="1700">
      <c r="A1700" s="112"/>
      <c r="B1700" s="84"/>
    </row>
    <row r="1701">
      <c r="A1701" s="112"/>
      <c r="B1701" s="84"/>
    </row>
    <row r="1702">
      <c r="A1702" s="112"/>
      <c r="B1702" s="84"/>
    </row>
    <row r="1703">
      <c r="A1703" s="112"/>
      <c r="B1703" s="84"/>
    </row>
    <row r="1704">
      <c r="A1704" s="112"/>
      <c r="B1704" s="84"/>
    </row>
    <row r="1705">
      <c r="A1705" s="112"/>
      <c r="B1705" s="84"/>
    </row>
    <row r="1706">
      <c r="A1706" s="112"/>
      <c r="B1706" s="84"/>
    </row>
    <row r="1707">
      <c r="A1707" s="112"/>
      <c r="B1707" s="84"/>
    </row>
    <row r="1708">
      <c r="A1708" s="112"/>
      <c r="B1708" s="84"/>
    </row>
    <row r="1709">
      <c r="A1709" s="112"/>
      <c r="B1709" s="84"/>
    </row>
    <row r="1710">
      <c r="A1710" s="112"/>
      <c r="B1710" s="84"/>
    </row>
    <row r="1711">
      <c r="A1711" s="112"/>
      <c r="B1711" s="84"/>
    </row>
    <row r="1712">
      <c r="A1712" s="112"/>
      <c r="B1712" s="84"/>
    </row>
    <row r="1713">
      <c r="A1713" s="112"/>
      <c r="B1713" s="84"/>
    </row>
    <row r="1714">
      <c r="A1714" s="112"/>
      <c r="B1714" s="84"/>
    </row>
    <row r="1715">
      <c r="A1715" s="112"/>
      <c r="B1715" s="84"/>
    </row>
    <row r="1716">
      <c r="A1716" s="112"/>
      <c r="B1716" s="84"/>
    </row>
    <row r="1717">
      <c r="A1717" s="112"/>
      <c r="B1717" s="84"/>
    </row>
    <row r="1718">
      <c r="A1718" s="112"/>
      <c r="B1718" s="84"/>
    </row>
    <row r="1719">
      <c r="A1719" s="112"/>
      <c r="B1719" s="84"/>
    </row>
    <row r="1720">
      <c r="A1720" s="112"/>
      <c r="B1720" s="84"/>
    </row>
    <row r="1721">
      <c r="A1721" s="112"/>
      <c r="B1721" s="84"/>
    </row>
    <row r="1722">
      <c r="A1722" s="112"/>
      <c r="B1722" s="84"/>
    </row>
    <row r="1723">
      <c r="A1723" s="112"/>
      <c r="B1723" s="84"/>
    </row>
    <row r="1724">
      <c r="A1724" s="112"/>
      <c r="B1724" s="84"/>
    </row>
    <row r="1725">
      <c r="A1725" s="112"/>
      <c r="B1725" s="84"/>
    </row>
    <row r="1726">
      <c r="A1726" s="112"/>
      <c r="B1726" s="84"/>
    </row>
    <row r="1727">
      <c r="A1727" s="112"/>
      <c r="B1727" s="84"/>
    </row>
    <row r="1728">
      <c r="A1728" s="112"/>
      <c r="B1728" s="84"/>
    </row>
    <row r="1729">
      <c r="A1729" s="112"/>
      <c r="B1729" s="84"/>
    </row>
    <row r="1730">
      <c r="A1730" s="112"/>
      <c r="B1730" s="84"/>
    </row>
    <row r="1731">
      <c r="A1731" s="112"/>
      <c r="B1731" s="84"/>
    </row>
    <row r="1732">
      <c r="A1732" s="112"/>
      <c r="B1732" s="84"/>
    </row>
    <row r="1733">
      <c r="A1733" s="112"/>
      <c r="B1733" s="84"/>
    </row>
    <row r="1734">
      <c r="A1734" s="112"/>
      <c r="B1734" s="84"/>
    </row>
    <row r="1735">
      <c r="A1735" s="112"/>
      <c r="B1735" s="84"/>
    </row>
    <row r="1736">
      <c r="A1736" s="112"/>
      <c r="B1736" s="84"/>
    </row>
    <row r="1737">
      <c r="A1737" s="112"/>
      <c r="B1737" s="84"/>
    </row>
    <row r="1738">
      <c r="A1738" s="112"/>
      <c r="B1738" s="84"/>
    </row>
    <row r="1739">
      <c r="A1739" s="112"/>
      <c r="B1739" s="84"/>
    </row>
    <row r="1740">
      <c r="A1740" s="112"/>
      <c r="B1740" s="84"/>
    </row>
    <row r="1741">
      <c r="A1741" s="112"/>
      <c r="B1741" s="84"/>
    </row>
    <row r="1742">
      <c r="A1742" s="112"/>
      <c r="B1742" s="84"/>
    </row>
    <row r="1743">
      <c r="A1743" s="112"/>
      <c r="B1743" s="84"/>
    </row>
    <row r="1744">
      <c r="A1744" s="112"/>
      <c r="B1744" s="84"/>
    </row>
    <row r="1745">
      <c r="A1745" s="112"/>
      <c r="B1745" s="84"/>
    </row>
    <row r="1746">
      <c r="A1746" s="112"/>
      <c r="B1746" s="84"/>
    </row>
    <row r="1747">
      <c r="A1747" s="112"/>
      <c r="B1747" s="84"/>
    </row>
    <row r="1748">
      <c r="A1748" s="112"/>
      <c r="B1748" s="84"/>
    </row>
    <row r="1749">
      <c r="A1749" s="112"/>
      <c r="B1749" s="84"/>
    </row>
    <row r="1750">
      <c r="A1750" s="112"/>
      <c r="B1750" s="84"/>
    </row>
    <row r="1751">
      <c r="A1751" s="112"/>
      <c r="B1751" s="84"/>
    </row>
    <row r="1752">
      <c r="A1752" s="112"/>
      <c r="B1752" s="84"/>
    </row>
    <row r="1753">
      <c r="A1753" s="112"/>
      <c r="B1753" s="84"/>
    </row>
    <row r="1754">
      <c r="A1754" s="112"/>
      <c r="B1754" s="84"/>
    </row>
    <row r="1755">
      <c r="A1755" s="112"/>
      <c r="B1755" s="84"/>
    </row>
    <row r="1756">
      <c r="A1756" s="112"/>
      <c r="B1756" s="84"/>
    </row>
    <row r="1757">
      <c r="A1757" s="112"/>
      <c r="B1757" s="84"/>
    </row>
    <row r="1758">
      <c r="A1758" s="112"/>
      <c r="B1758" s="84"/>
    </row>
    <row r="1759">
      <c r="A1759" s="112"/>
      <c r="B1759" s="84"/>
    </row>
    <row r="1760">
      <c r="A1760" s="112"/>
      <c r="B1760" s="84"/>
    </row>
    <row r="1761">
      <c r="A1761" s="112"/>
      <c r="B1761" s="84"/>
    </row>
    <row r="1762">
      <c r="A1762" s="112"/>
      <c r="B1762" s="84"/>
    </row>
    <row r="1763">
      <c r="A1763" s="112"/>
      <c r="B1763" s="84"/>
    </row>
    <row r="1764">
      <c r="A1764" s="112"/>
      <c r="B1764" s="84"/>
    </row>
    <row r="1765">
      <c r="A1765" s="112"/>
      <c r="B1765" s="84"/>
    </row>
    <row r="1766">
      <c r="A1766" s="112"/>
      <c r="B1766" s="84"/>
    </row>
    <row r="1767">
      <c r="A1767" s="112"/>
      <c r="B1767" s="84"/>
    </row>
    <row r="1768">
      <c r="A1768" s="112"/>
      <c r="B1768" s="84"/>
    </row>
    <row r="1769">
      <c r="A1769" s="112"/>
      <c r="B1769" s="84"/>
    </row>
    <row r="1770">
      <c r="A1770" s="112"/>
      <c r="B1770" s="84"/>
    </row>
    <row r="1771">
      <c r="A1771" s="112"/>
      <c r="B1771" s="84"/>
    </row>
    <row r="1772">
      <c r="A1772" s="112"/>
      <c r="B1772" s="84"/>
    </row>
    <row r="1773">
      <c r="A1773" s="112"/>
      <c r="B1773" s="84"/>
    </row>
    <row r="1774">
      <c r="A1774" s="112"/>
      <c r="B1774" s="84"/>
    </row>
    <row r="1775">
      <c r="A1775" s="112"/>
      <c r="B1775" s="84"/>
    </row>
    <row r="1776">
      <c r="A1776" s="112"/>
      <c r="B1776" s="84"/>
    </row>
    <row r="1777">
      <c r="A1777" s="112"/>
      <c r="B1777" s="84"/>
    </row>
    <row r="1778">
      <c r="A1778" s="112"/>
      <c r="B1778" s="84"/>
    </row>
    <row r="1779">
      <c r="A1779" s="112"/>
      <c r="B1779" s="84"/>
    </row>
    <row r="1780">
      <c r="A1780" s="112"/>
      <c r="B1780" s="84"/>
    </row>
    <row r="1781">
      <c r="A1781" s="112"/>
      <c r="B1781" s="84"/>
    </row>
    <row r="1782">
      <c r="A1782" s="112"/>
      <c r="B1782" s="84"/>
    </row>
    <row r="1783">
      <c r="A1783" s="112"/>
      <c r="B1783" s="84"/>
    </row>
    <row r="1784">
      <c r="A1784" s="112"/>
      <c r="B1784" s="84"/>
    </row>
    <row r="1785">
      <c r="A1785" s="112"/>
      <c r="B1785" s="84"/>
    </row>
    <row r="1786">
      <c r="A1786" s="112"/>
      <c r="B1786" s="84"/>
    </row>
    <row r="1787">
      <c r="A1787" s="112"/>
      <c r="B1787" s="84"/>
    </row>
    <row r="1788">
      <c r="A1788" s="112"/>
      <c r="B1788" s="84"/>
    </row>
    <row r="1789">
      <c r="A1789" s="112"/>
      <c r="B1789" s="84"/>
    </row>
    <row r="1790">
      <c r="A1790" s="112"/>
      <c r="B1790" s="84"/>
    </row>
    <row r="1791">
      <c r="A1791" s="112"/>
      <c r="B1791" s="84"/>
    </row>
    <row r="1792">
      <c r="A1792" s="112"/>
      <c r="B1792" s="84"/>
    </row>
    <row r="1793">
      <c r="A1793" s="112"/>
      <c r="B1793" s="84"/>
    </row>
    <row r="1794">
      <c r="A1794" s="112"/>
      <c r="B1794" s="84"/>
    </row>
    <row r="1795">
      <c r="A1795" s="112"/>
      <c r="B1795" s="84"/>
    </row>
    <row r="1796">
      <c r="A1796" s="112"/>
      <c r="B1796" s="84"/>
    </row>
    <row r="1797">
      <c r="A1797" s="112"/>
      <c r="B1797" s="84"/>
    </row>
    <row r="1798">
      <c r="A1798" s="112"/>
      <c r="B1798" s="84"/>
    </row>
    <row r="1799">
      <c r="A1799" s="112"/>
      <c r="B1799" s="84"/>
    </row>
    <row r="1800">
      <c r="A1800" s="112"/>
      <c r="B1800" s="84"/>
    </row>
    <row r="1801">
      <c r="A1801" s="112"/>
      <c r="B1801" s="84"/>
    </row>
    <row r="1802">
      <c r="A1802" s="112"/>
      <c r="B1802" s="84"/>
    </row>
    <row r="1803">
      <c r="A1803" s="112"/>
      <c r="B1803" s="84"/>
    </row>
    <row r="1804">
      <c r="A1804" s="112"/>
      <c r="B1804" s="84"/>
    </row>
    <row r="1805">
      <c r="A1805" s="112"/>
      <c r="B1805" s="84"/>
    </row>
    <row r="1806">
      <c r="A1806" s="112"/>
      <c r="B1806" s="84"/>
    </row>
    <row r="1807">
      <c r="A1807" s="112"/>
      <c r="B1807" s="84"/>
    </row>
    <row r="1808">
      <c r="A1808" s="112"/>
      <c r="B1808" s="84"/>
    </row>
    <row r="1809">
      <c r="A1809" s="112"/>
      <c r="B1809" s="84"/>
    </row>
    <row r="1810">
      <c r="A1810" s="112"/>
      <c r="B1810" s="84"/>
    </row>
    <row r="1811">
      <c r="A1811" s="112"/>
      <c r="B1811" s="84"/>
    </row>
    <row r="1812">
      <c r="A1812" s="112"/>
      <c r="B1812" s="84"/>
    </row>
    <row r="1813">
      <c r="A1813" s="112"/>
      <c r="B1813" s="84"/>
    </row>
    <row r="1814">
      <c r="A1814" s="112"/>
      <c r="B1814" s="84"/>
    </row>
    <row r="1815">
      <c r="A1815" s="112"/>
      <c r="B1815" s="84"/>
    </row>
    <row r="1816">
      <c r="A1816" s="112"/>
      <c r="B1816" s="84"/>
    </row>
    <row r="1817">
      <c r="A1817" s="112"/>
      <c r="B1817" s="84"/>
    </row>
    <row r="1818">
      <c r="A1818" s="112"/>
      <c r="B1818" s="84"/>
    </row>
    <row r="1819">
      <c r="A1819" s="112"/>
      <c r="B1819" s="84"/>
    </row>
    <row r="1820">
      <c r="A1820" s="112"/>
      <c r="B1820" s="84"/>
    </row>
    <row r="1821">
      <c r="A1821" s="112"/>
      <c r="B1821" s="84"/>
    </row>
    <row r="1822">
      <c r="A1822" s="112"/>
      <c r="B1822" s="84"/>
    </row>
    <row r="1823">
      <c r="A1823" s="112"/>
      <c r="B1823" s="84"/>
    </row>
    <row r="1824">
      <c r="A1824" s="112"/>
      <c r="B1824" s="84"/>
    </row>
    <row r="1825">
      <c r="A1825" s="112"/>
      <c r="B1825" s="84"/>
    </row>
    <row r="1826">
      <c r="A1826" s="112"/>
      <c r="B1826" s="84"/>
    </row>
    <row r="1827">
      <c r="A1827" s="112"/>
      <c r="B1827" s="84"/>
    </row>
    <row r="1828">
      <c r="A1828" s="112"/>
      <c r="B1828" s="84"/>
    </row>
    <row r="1829">
      <c r="A1829" s="112"/>
      <c r="B1829" s="84"/>
    </row>
    <row r="1830">
      <c r="A1830" s="112"/>
      <c r="B1830" s="84"/>
    </row>
    <row r="1831">
      <c r="A1831" s="112"/>
      <c r="B1831" s="84"/>
    </row>
    <row r="1832">
      <c r="A1832" s="112"/>
      <c r="B1832" s="84"/>
    </row>
    <row r="1833">
      <c r="A1833" s="112"/>
      <c r="B1833" s="84"/>
    </row>
    <row r="1834">
      <c r="A1834" s="112"/>
      <c r="B1834" s="84"/>
    </row>
    <row r="1835">
      <c r="A1835" s="112"/>
      <c r="B1835" s="84"/>
    </row>
    <row r="1836">
      <c r="A1836" s="112"/>
      <c r="B1836" s="84"/>
    </row>
    <row r="1837">
      <c r="A1837" s="112"/>
      <c r="B1837" s="84"/>
    </row>
    <row r="1838">
      <c r="A1838" s="112"/>
      <c r="B1838" s="84"/>
    </row>
    <row r="1839">
      <c r="A1839" s="112"/>
      <c r="B1839" s="84"/>
    </row>
    <row r="1840">
      <c r="A1840" s="112"/>
      <c r="B1840" s="84"/>
    </row>
    <row r="1841">
      <c r="A1841" s="112"/>
      <c r="B1841" s="84"/>
    </row>
    <row r="1842">
      <c r="A1842" s="112"/>
      <c r="B1842" s="84"/>
    </row>
    <row r="1843">
      <c r="A1843" s="112"/>
      <c r="B1843" s="84"/>
    </row>
    <row r="1844">
      <c r="A1844" s="112"/>
      <c r="B1844" s="84"/>
    </row>
    <row r="1845">
      <c r="A1845" s="112"/>
      <c r="B1845" s="84"/>
    </row>
    <row r="1846">
      <c r="A1846" s="112"/>
      <c r="B1846" s="84"/>
    </row>
    <row r="1847">
      <c r="A1847" s="112"/>
      <c r="B1847" s="84"/>
    </row>
    <row r="1848">
      <c r="A1848" s="112"/>
      <c r="B1848" s="84"/>
    </row>
    <row r="1849">
      <c r="A1849" s="112"/>
      <c r="B1849" s="84"/>
    </row>
    <row r="1850">
      <c r="A1850" s="112"/>
      <c r="B1850" s="84"/>
    </row>
    <row r="1851">
      <c r="A1851" s="112"/>
      <c r="B1851" s="84"/>
    </row>
    <row r="1852">
      <c r="A1852" s="112"/>
      <c r="B1852" s="84"/>
    </row>
    <row r="1853">
      <c r="A1853" s="112"/>
      <c r="B1853" s="84"/>
    </row>
    <row r="1854">
      <c r="A1854" s="112"/>
      <c r="B1854" s="84"/>
    </row>
    <row r="1855">
      <c r="A1855" s="112"/>
      <c r="B1855" s="84"/>
    </row>
    <row r="1856">
      <c r="A1856" s="112"/>
      <c r="B1856" s="84"/>
    </row>
    <row r="1857">
      <c r="A1857" s="112"/>
      <c r="B1857" s="84"/>
    </row>
    <row r="1858">
      <c r="A1858" s="112"/>
      <c r="B1858" s="84"/>
    </row>
    <row r="1859">
      <c r="A1859" s="112"/>
      <c r="B1859" s="84"/>
    </row>
    <row r="1860">
      <c r="A1860" s="112"/>
      <c r="B1860" s="84"/>
    </row>
    <row r="1861">
      <c r="A1861" s="112"/>
      <c r="B1861" s="84"/>
    </row>
    <row r="1862">
      <c r="A1862" s="112"/>
      <c r="B1862" s="84"/>
    </row>
    <row r="1863">
      <c r="A1863" s="112"/>
      <c r="B1863" s="84"/>
    </row>
    <row r="1864">
      <c r="A1864" s="112"/>
      <c r="B1864" s="84"/>
    </row>
    <row r="1865">
      <c r="A1865" s="112"/>
      <c r="B1865" s="84"/>
    </row>
    <row r="1866">
      <c r="A1866" s="112"/>
      <c r="B1866" s="84"/>
    </row>
    <row r="1867">
      <c r="A1867" s="112"/>
      <c r="B1867" s="84"/>
    </row>
    <row r="1868">
      <c r="A1868" s="112"/>
      <c r="B1868" s="84"/>
    </row>
    <row r="1869">
      <c r="A1869" s="112"/>
      <c r="B1869" s="84"/>
    </row>
    <row r="1870">
      <c r="A1870" s="112"/>
      <c r="B1870" s="84"/>
    </row>
    <row r="1871">
      <c r="A1871" s="112"/>
      <c r="B1871" s="84"/>
    </row>
    <row r="1872">
      <c r="A1872" s="112"/>
      <c r="B1872" s="84"/>
    </row>
    <row r="1873">
      <c r="A1873" s="112"/>
      <c r="B1873" s="84"/>
    </row>
    <row r="1874">
      <c r="A1874" s="112"/>
      <c r="B1874" s="84"/>
    </row>
    <row r="1875">
      <c r="A1875" s="112"/>
      <c r="B1875" s="84"/>
    </row>
    <row r="1876">
      <c r="A1876" s="112"/>
      <c r="B1876" s="84"/>
    </row>
    <row r="1877">
      <c r="A1877" s="112"/>
      <c r="B1877" s="84"/>
    </row>
    <row r="1878">
      <c r="A1878" s="112"/>
      <c r="B1878" s="84"/>
    </row>
    <row r="1879">
      <c r="A1879" s="112"/>
      <c r="B1879" s="84"/>
    </row>
    <row r="1880">
      <c r="A1880" s="112"/>
      <c r="B1880" s="84"/>
    </row>
    <row r="1881">
      <c r="A1881" s="112"/>
      <c r="B1881" s="84"/>
    </row>
    <row r="1882">
      <c r="A1882" s="112"/>
      <c r="B1882" s="84"/>
    </row>
    <row r="1883">
      <c r="A1883" s="112"/>
      <c r="B1883" s="84"/>
    </row>
    <row r="1884">
      <c r="A1884" s="112"/>
      <c r="B1884" s="84"/>
    </row>
    <row r="1885">
      <c r="A1885" s="112"/>
      <c r="B1885" s="84"/>
    </row>
    <row r="1886">
      <c r="A1886" s="112"/>
      <c r="B1886" s="84"/>
    </row>
    <row r="1887">
      <c r="A1887" s="112"/>
      <c r="B1887" s="84"/>
    </row>
    <row r="1888">
      <c r="A1888" s="112"/>
      <c r="B1888" s="84"/>
    </row>
    <row r="1889">
      <c r="A1889" s="112"/>
      <c r="B1889" s="84"/>
    </row>
    <row r="1890">
      <c r="A1890" s="112"/>
      <c r="B1890" s="84"/>
    </row>
    <row r="1891">
      <c r="A1891" s="112"/>
      <c r="B1891" s="84"/>
    </row>
    <row r="1892">
      <c r="A1892" s="112"/>
      <c r="B1892" s="84"/>
    </row>
    <row r="1893">
      <c r="A1893" s="112"/>
      <c r="B1893" s="84"/>
    </row>
    <row r="1894">
      <c r="A1894" s="112"/>
      <c r="B1894" s="84"/>
    </row>
    <row r="1895">
      <c r="A1895" s="112"/>
      <c r="B1895" s="84"/>
    </row>
    <row r="1896">
      <c r="A1896" s="112"/>
      <c r="B1896" s="84"/>
    </row>
    <row r="1897">
      <c r="A1897" s="112"/>
      <c r="B1897" s="84"/>
    </row>
    <row r="1898">
      <c r="A1898" s="112"/>
      <c r="B1898" s="84"/>
    </row>
    <row r="1899">
      <c r="A1899" s="112"/>
      <c r="B1899" s="84"/>
    </row>
    <row r="1900">
      <c r="A1900" s="112"/>
      <c r="B1900" s="84"/>
    </row>
    <row r="1901">
      <c r="A1901" s="112"/>
      <c r="B1901" s="84"/>
    </row>
    <row r="1902">
      <c r="A1902" s="112"/>
      <c r="B1902" s="84"/>
    </row>
    <row r="1903">
      <c r="A1903" s="112"/>
      <c r="B1903" s="84"/>
    </row>
    <row r="1904">
      <c r="A1904" s="112"/>
      <c r="B1904" s="84"/>
    </row>
    <row r="1905">
      <c r="A1905" s="112"/>
      <c r="B1905" s="84"/>
    </row>
    <row r="1906">
      <c r="A1906" s="112"/>
      <c r="B1906" s="84"/>
    </row>
    <row r="1907">
      <c r="A1907" s="112"/>
      <c r="B1907" s="84"/>
    </row>
    <row r="1908">
      <c r="A1908" s="112"/>
      <c r="B1908" s="84"/>
    </row>
    <row r="1909">
      <c r="A1909" s="112"/>
      <c r="B1909" s="84"/>
    </row>
    <row r="1910">
      <c r="A1910" s="112"/>
      <c r="B1910" s="84"/>
    </row>
    <row r="1911">
      <c r="A1911" s="112"/>
      <c r="B1911" s="84"/>
    </row>
    <row r="1912">
      <c r="A1912" s="112"/>
      <c r="B1912" s="84"/>
    </row>
    <row r="1913">
      <c r="A1913" s="112"/>
      <c r="B1913" s="84"/>
    </row>
    <row r="1914">
      <c r="A1914" s="112"/>
      <c r="B1914" s="84"/>
    </row>
    <row r="1915">
      <c r="A1915" s="112"/>
      <c r="B1915" s="84"/>
    </row>
    <row r="1916">
      <c r="A1916" s="112"/>
      <c r="B1916" s="84"/>
    </row>
    <row r="1917">
      <c r="A1917" s="112"/>
      <c r="B1917" s="84"/>
    </row>
    <row r="1918">
      <c r="A1918" s="112"/>
      <c r="B1918" s="84"/>
    </row>
    <row r="1919">
      <c r="A1919" s="112"/>
      <c r="B1919" s="84"/>
    </row>
    <row r="1920">
      <c r="A1920" s="112"/>
      <c r="B1920" s="84"/>
    </row>
    <row r="1921">
      <c r="A1921" s="112"/>
      <c r="B1921" s="84"/>
    </row>
    <row r="1922">
      <c r="A1922" s="112"/>
      <c r="B1922" s="84"/>
    </row>
    <row r="1923">
      <c r="A1923" s="112"/>
      <c r="B1923" s="84"/>
    </row>
    <row r="1924">
      <c r="A1924" s="112"/>
      <c r="B1924" s="84"/>
    </row>
    <row r="1925">
      <c r="A1925" s="112"/>
      <c r="B1925" s="84"/>
    </row>
    <row r="1926">
      <c r="A1926" s="112"/>
      <c r="B1926" s="84"/>
    </row>
    <row r="1927">
      <c r="A1927" s="112"/>
      <c r="B1927" s="84"/>
    </row>
    <row r="1928">
      <c r="A1928" s="112"/>
      <c r="B1928" s="84"/>
    </row>
    <row r="1929">
      <c r="A1929" s="112"/>
      <c r="B1929" s="84"/>
    </row>
    <row r="1930">
      <c r="A1930" s="112"/>
      <c r="B1930" s="84"/>
    </row>
    <row r="1931">
      <c r="A1931" s="112"/>
      <c r="B1931" s="84"/>
    </row>
    <row r="1932">
      <c r="A1932" s="112"/>
      <c r="B1932" s="84"/>
    </row>
    <row r="1933">
      <c r="A1933" s="112"/>
      <c r="B1933" s="84"/>
    </row>
    <row r="1934">
      <c r="A1934" s="112"/>
      <c r="B1934" s="84"/>
    </row>
    <row r="1935">
      <c r="A1935" s="112"/>
      <c r="B1935" s="84"/>
    </row>
    <row r="1936">
      <c r="A1936" s="112"/>
      <c r="B1936" s="84"/>
    </row>
    <row r="1937">
      <c r="A1937" s="112"/>
      <c r="B1937" s="84"/>
    </row>
    <row r="1938">
      <c r="A1938" s="112"/>
      <c r="B1938" s="84"/>
    </row>
    <row r="1939">
      <c r="A1939" s="112"/>
      <c r="B1939" s="84"/>
    </row>
    <row r="1940">
      <c r="A1940" s="112"/>
      <c r="B1940" s="84"/>
    </row>
    <row r="1941">
      <c r="A1941" s="112"/>
      <c r="B1941" s="84"/>
    </row>
    <row r="1942">
      <c r="A1942" s="112"/>
      <c r="B1942" s="84"/>
    </row>
    <row r="1943">
      <c r="A1943" s="112"/>
      <c r="B1943" s="84"/>
    </row>
    <row r="1944">
      <c r="A1944" s="112"/>
      <c r="B1944" s="84"/>
    </row>
    <row r="1945">
      <c r="A1945" s="112"/>
      <c r="B1945" s="84"/>
    </row>
    <row r="1946">
      <c r="A1946" s="112"/>
      <c r="B1946" s="84"/>
    </row>
    <row r="1947">
      <c r="A1947" s="112"/>
      <c r="B1947" s="84"/>
    </row>
    <row r="1948">
      <c r="A1948" s="112"/>
      <c r="B1948" s="84"/>
    </row>
    <row r="1949">
      <c r="A1949" s="112"/>
      <c r="B1949" s="84"/>
    </row>
    <row r="1950">
      <c r="A1950" s="112"/>
      <c r="B1950" s="84"/>
    </row>
    <row r="1951">
      <c r="A1951" s="112"/>
      <c r="B1951" s="84"/>
    </row>
    <row r="1952">
      <c r="A1952" s="112"/>
      <c r="B1952" s="84"/>
    </row>
    <row r="1953">
      <c r="A1953" s="112"/>
      <c r="B1953" s="84"/>
    </row>
    <row r="1954">
      <c r="A1954" s="112"/>
      <c r="B1954" s="84"/>
    </row>
    <row r="1955">
      <c r="A1955" s="112"/>
      <c r="B1955" s="84"/>
    </row>
    <row r="1956">
      <c r="A1956" s="112"/>
      <c r="B1956" s="84"/>
    </row>
    <row r="1957">
      <c r="A1957" s="112"/>
      <c r="B1957" s="84"/>
    </row>
    <row r="1958">
      <c r="A1958" s="112"/>
      <c r="B1958" s="84"/>
    </row>
    <row r="1959">
      <c r="A1959" s="112"/>
      <c r="B1959" s="84"/>
    </row>
    <row r="1960">
      <c r="A1960" s="112"/>
      <c r="B1960" s="84"/>
    </row>
    <row r="1961">
      <c r="A1961" s="112"/>
      <c r="B1961" s="84"/>
    </row>
    <row r="1962">
      <c r="A1962" s="112"/>
      <c r="B1962" s="84"/>
    </row>
    <row r="1963">
      <c r="A1963" s="112"/>
      <c r="B1963" s="84"/>
    </row>
    <row r="1964">
      <c r="A1964" s="112"/>
      <c r="B1964" s="84"/>
    </row>
    <row r="1965">
      <c r="A1965" s="112"/>
      <c r="B1965" s="84"/>
    </row>
    <row r="1966">
      <c r="A1966" s="112"/>
      <c r="B1966" s="84"/>
    </row>
    <row r="1967">
      <c r="A1967" s="112"/>
      <c r="B1967" s="84"/>
    </row>
    <row r="1968">
      <c r="A1968" s="112"/>
      <c r="B1968" s="84"/>
    </row>
    <row r="1969">
      <c r="A1969" s="112"/>
      <c r="B1969" s="84"/>
    </row>
    <row r="1970">
      <c r="A1970" s="112"/>
      <c r="B1970" s="84"/>
    </row>
    <row r="1971">
      <c r="A1971" s="112"/>
      <c r="B1971" s="84"/>
    </row>
    <row r="1972">
      <c r="A1972" s="112"/>
      <c r="B1972" s="84"/>
    </row>
    <row r="1973">
      <c r="A1973" s="112"/>
      <c r="B1973" s="84"/>
    </row>
    <row r="1974">
      <c r="A1974" s="112"/>
      <c r="B1974" s="84"/>
    </row>
    <row r="1975">
      <c r="A1975" s="112"/>
      <c r="B1975" s="84"/>
    </row>
    <row r="1976">
      <c r="A1976" s="112"/>
      <c r="B1976" s="84"/>
    </row>
    <row r="1977">
      <c r="A1977" s="112"/>
      <c r="B1977" s="84"/>
    </row>
    <row r="1978">
      <c r="A1978" s="112"/>
      <c r="B1978" s="84"/>
    </row>
    <row r="1979">
      <c r="A1979" s="112"/>
      <c r="B1979" s="84"/>
    </row>
    <row r="1980">
      <c r="A1980" s="112"/>
      <c r="B1980" s="84"/>
    </row>
    <row r="1981">
      <c r="A1981" s="112"/>
      <c r="B1981" s="84"/>
    </row>
    <row r="1982">
      <c r="A1982" s="112"/>
      <c r="B1982" s="84"/>
    </row>
    <row r="1983">
      <c r="A1983" s="112"/>
      <c r="B1983" s="84"/>
    </row>
    <row r="1984">
      <c r="A1984" s="112"/>
      <c r="B1984" s="84"/>
    </row>
    <row r="1985">
      <c r="A1985" s="112"/>
      <c r="B1985" s="84"/>
    </row>
    <row r="1986">
      <c r="A1986" s="112"/>
      <c r="B1986" s="84"/>
    </row>
    <row r="1987">
      <c r="A1987" s="112"/>
      <c r="B1987" s="84"/>
    </row>
    <row r="1988">
      <c r="A1988" s="112"/>
      <c r="B1988" s="84"/>
    </row>
    <row r="1989">
      <c r="A1989" s="112"/>
      <c r="B1989" s="84"/>
    </row>
    <row r="1990">
      <c r="A1990" s="112"/>
      <c r="B1990" s="84"/>
    </row>
    <row r="1991">
      <c r="A1991" s="112"/>
      <c r="B1991" s="84"/>
    </row>
    <row r="1992">
      <c r="A1992" s="112"/>
      <c r="B1992" s="84"/>
    </row>
    <row r="1993">
      <c r="A1993" s="112"/>
      <c r="B1993" s="84"/>
    </row>
    <row r="1994">
      <c r="A1994" s="112"/>
      <c r="B1994" s="84"/>
    </row>
    <row r="1995">
      <c r="A1995" s="112"/>
      <c r="B1995" s="84"/>
    </row>
    <row r="1996">
      <c r="A1996" s="112"/>
      <c r="B1996" s="84"/>
    </row>
    <row r="1997">
      <c r="A1997" s="112"/>
      <c r="B1997" s="84"/>
    </row>
    <row r="1998">
      <c r="A1998" s="112"/>
      <c r="B1998" s="84"/>
    </row>
    <row r="1999">
      <c r="A1999" s="112"/>
      <c r="B1999" s="84"/>
    </row>
    <row r="2000">
      <c r="A2000" s="112"/>
      <c r="B2000" s="84"/>
    </row>
    <row r="2001">
      <c r="A2001" s="112"/>
      <c r="B2001" s="84"/>
    </row>
    <row r="2002">
      <c r="A2002" s="112"/>
      <c r="B2002" s="84"/>
    </row>
    <row r="2003">
      <c r="A2003" s="112"/>
      <c r="B2003" s="84"/>
    </row>
    <row r="2004">
      <c r="A2004" s="112"/>
      <c r="B2004" s="84"/>
    </row>
    <row r="2005">
      <c r="A2005" s="112"/>
      <c r="B2005" s="84"/>
    </row>
    <row r="2006">
      <c r="A2006" s="112"/>
      <c r="B2006" s="84"/>
    </row>
    <row r="2007">
      <c r="A2007" s="112"/>
      <c r="B2007" s="84"/>
    </row>
    <row r="2008">
      <c r="A2008" s="112"/>
      <c r="B2008" s="84"/>
    </row>
    <row r="2009">
      <c r="A2009" s="112"/>
      <c r="B2009" s="84"/>
    </row>
    <row r="2010">
      <c r="A2010" s="112"/>
      <c r="B2010" s="84"/>
    </row>
    <row r="2011">
      <c r="A2011" s="112"/>
      <c r="B2011" s="84"/>
    </row>
    <row r="2012">
      <c r="A2012" s="112"/>
      <c r="B2012" s="84"/>
    </row>
    <row r="2013">
      <c r="A2013" s="112"/>
      <c r="B2013" s="84"/>
    </row>
    <row r="2014">
      <c r="A2014" s="112"/>
      <c r="B2014" s="84"/>
    </row>
    <row r="2015">
      <c r="A2015" s="112"/>
      <c r="B2015" s="84"/>
    </row>
    <row r="2016">
      <c r="A2016" s="112"/>
      <c r="B2016" s="84"/>
    </row>
    <row r="2017">
      <c r="A2017" s="112"/>
      <c r="B2017" s="84"/>
    </row>
    <row r="2018">
      <c r="A2018" s="112"/>
      <c r="B2018" s="84"/>
    </row>
    <row r="2019">
      <c r="A2019" s="112"/>
      <c r="B2019" s="84"/>
    </row>
    <row r="2020">
      <c r="A2020" s="112"/>
      <c r="B2020" s="84"/>
    </row>
    <row r="2021">
      <c r="A2021" s="112"/>
      <c r="B2021" s="84"/>
    </row>
    <row r="2022">
      <c r="A2022" s="112"/>
      <c r="B2022" s="84"/>
    </row>
    <row r="2023">
      <c r="A2023" s="112"/>
      <c r="B2023" s="84"/>
    </row>
    <row r="2024">
      <c r="A2024" s="112"/>
      <c r="B2024" s="84"/>
    </row>
    <row r="2025">
      <c r="A2025" s="112"/>
      <c r="B2025" s="84"/>
    </row>
    <row r="2026">
      <c r="A2026" s="112"/>
      <c r="B2026" s="84"/>
    </row>
    <row r="2027">
      <c r="A2027" s="112"/>
      <c r="B2027" s="84"/>
    </row>
    <row r="2028">
      <c r="A2028" s="112"/>
      <c r="B2028" s="84"/>
    </row>
    <row r="2029">
      <c r="A2029" s="112"/>
      <c r="B2029" s="84"/>
    </row>
  </sheetData>
  <autoFilter ref="$C$1:$C$999"/>
  <conditionalFormatting sqref="B1:B1007 G2:G139 G308 B1169:B2029">
    <cfRule type="colorScale" priority="1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C2:C529">
      <formula1>"1A,1B,1C,1D,2A,2B,2C,2D,3A,3B"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2"/>
      <c r="B1" s="124"/>
      <c r="J1" s="112"/>
      <c r="T1" s="112"/>
      <c r="AC1" s="112"/>
    </row>
    <row r="2">
      <c r="A2" s="112"/>
      <c r="B2" s="124"/>
      <c r="J2" s="14" t="s">
        <v>15</v>
      </c>
      <c r="T2" s="112"/>
      <c r="AC2" s="112"/>
      <c r="AU2" s="14" t="s">
        <v>69</v>
      </c>
    </row>
    <row r="3">
      <c r="A3" s="14" t="s">
        <v>11</v>
      </c>
      <c r="B3" s="124"/>
      <c r="J3" s="129" t="s">
        <v>968</v>
      </c>
      <c r="K3" s="110" t="s">
        <v>969</v>
      </c>
      <c r="T3" s="130" t="s">
        <v>18</v>
      </c>
      <c r="AC3" s="129" t="s">
        <v>48</v>
      </c>
      <c r="AL3" s="14" t="s">
        <v>67</v>
      </c>
      <c r="AU3" s="129" t="s">
        <v>968</v>
      </c>
      <c r="AV3" s="110" t="s">
        <v>969</v>
      </c>
      <c r="BD3" s="14" t="s">
        <v>70</v>
      </c>
      <c r="BM3" s="14" t="s">
        <v>72</v>
      </c>
    </row>
    <row r="4">
      <c r="A4" s="129" t="s">
        <v>968</v>
      </c>
      <c r="B4" s="110" t="s">
        <v>969</v>
      </c>
      <c r="J4" s="129">
        <v>45233.0</v>
      </c>
      <c r="K4" s="73">
        <v>49.0</v>
      </c>
      <c r="T4" s="129" t="s">
        <v>968</v>
      </c>
      <c r="U4" s="110" t="s">
        <v>969</v>
      </c>
      <c r="AC4" s="129" t="s">
        <v>968</v>
      </c>
      <c r="AD4" s="110" t="s">
        <v>969</v>
      </c>
      <c r="AL4" s="129" t="s">
        <v>968</v>
      </c>
      <c r="AM4" s="110" t="s">
        <v>969</v>
      </c>
      <c r="AU4" s="23">
        <v>45309.0</v>
      </c>
      <c r="AV4" s="73">
        <v>52.0</v>
      </c>
      <c r="BD4" s="129" t="s">
        <v>968</v>
      </c>
      <c r="BE4" s="110" t="s">
        <v>969</v>
      </c>
      <c r="BM4" s="129" t="s">
        <v>968</v>
      </c>
      <c r="BN4" s="110" t="s">
        <v>969</v>
      </c>
    </row>
    <row r="5">
      <c r="A5" s="10">
        <v>45226.0</v>
      </c>
      <c r="B5" s="103">
        <v>40.0</v>
      </c>
      <c r="J5" s="129">
        <v>45247.0</v>
      </c>
      <c r="K5" s="73">
        <v>43.0</v>
      </c>
      <c r="T5" s="10">
        <v>45236.0</v>
      </c>
      <c r="U5" s="15">
        <v>51.0</v>
      </c>
      <c r="AC5" s="10">
        <v>45265.0</v>
      </c>
      <c r="AD5" s="15">
        <v>56.0</v>
      </c>
      <c r="AL5" s="23">
        <v>45306.0</v>
      </c>
      <c r="AM5" s="73">
        <v>59.0</v>
      </c>
      <c r="AU5" s="23">
        <v>45310.0</v>
      </c>
      <c r="AV5" s="73">
        <v>48.0</v>
      </c>
      <c r="BD5" s="23">
        <v>45311.0</v>
      </c>
      <c r="BE5" s="73">
        <v>57.0</v>
      </c>
    </row>
    <row r="6">
      <c r="A6" s="10">
        <v>45228.0</v>
      </c>
      <c r="B6" s="104">
        <v>41.0</v>
      </c>
      <c r="J6" s="129">
        <v>45265.0</v>
      </c>
      <c r="K6" s="73">
        <v>40.0</v>
      </c>
      <c r="T6" s="10">
        <v>45251.0</v>
      </c>
      <c r="U6" s="15">
        <v>47.0</v>
      </c>
      <c r="AC6" s="10">
        <v>45266.0</v>
      </c>
      <c r="AD6" s="15">
        <v>51.0</v>
      </c>
      <c r="AL6" s="23">
        <v>45307.0</v>
      </c>
      <c r="AM6" s="73">
        <v>60.0</v>
      </c>
      <c r="AU6" s="23">
        <v>45311.0</v>
      </c>
      <c r="AV6" s="73">
        <v>51.0</v>
      </c>
      <c r="BD6" s="23">
        <v>45313.0</v>
      </c>
      <c r="BE6" s="73">
        <v>60.0</v>
      </c>
    </row>
    <row r="7">
      <c r="A7" s="10">
        <v>45240.0</v>
      </c>
      <c r="B7" s="105">
        <v>50.0</v>
      </c>
      <c r="J7" s="129">
        <v>45266.0</v>
      </c>
      <c r="K7" s="73">
        <v>53.0</v>
      </c>
      <c r="T7" s="10">
        <v>45265.0</v>
      </c>
      <c r="U7" s="15">
        <v>52.0</v>
      </c>
      <c r="AC7" s="10">
        <v>45268.0</v>
      </c>
      <c r="AD7" s="15">
        <v>50.0</v>
      </c>
      <c r="AL7" s="23">
        <v>45308.0</v>
      </c>
      <c r="AM7" s="73">
        <v>58.0</v>
      </c>
      <c r="AU7" s="23">
        <v>45313.0</v>
      </c>
      <c r="AV7" s="73">
        <v>44.0</v>
      </c>
      <c r="BD7" s="23">
        <v>45314.0</v>
      </c>
      <c r="BE7" s="73">
        <v>49.0</v>
      </c>
    </row>
    <row r="8">
      <c r="A8" s="10">
        <v>45258.0</v>
      </c>
      <c r="B8" s="105">
        <v>50.0</v>
      </c>
      <c r="J8" s="129">
        <v>45268.0</v>
      </c>
      <c r="K8" s="73">
        <v>53.0</v>
      </c>
      <c r="T8" s="10">
        <v>45266.0</v>
      </c>
      <c r="U8" s="15">
        <v>49.0</v>
      </c>
      <c r="AC8" s="10">
        <v>45272.0</v>
      </c>
      <c r="AD8" s="15">
        <v>42.0</v>
      </c>
      <c r="AL8" s="23">
        <v>45309.0</v>
      </c>
      <c r="AM8" s="73">
        <v>60.0</v>
      </c>
      <c r="AU8" s="23">
        <v>45314.0</v>
      </c>
      <c r="AV8" s="73">
        <v>58.0</v>
      </c>
      <c r="BD8" s="23">
        <v>45315.0</v>
      </c>
      <c r="BE8" s="73">
        <v>50.0</v>
      </c>
    </row>
    <row r="9">
      <c r="A9" s="10">
        <v>45265.0</v>
      </c>
      <c r="B9" s="105">
        <v>60.0</v>
      </c>
      <c r="J9" s="129">
        <v>45272.0</v>
      </c>
      <c r="K9" s="73">
        <v>56.0</v>
      </c>
      <c r="T9" s="10">
        <v>45268.0</v>
      </c>
      <c r="U9" s="15">
        <v>49.0</v>
      </c>
      <c r="AC9" s="10">
        <v>45273.0</v>
      </c>
      <c r="AD9" s="15">
        <v>56.0</v>
      </c>
      <c r="AL9" s="23">
        <v>45310.0</v>
      </c>
      <c r="AM9" s="73">
        <v>54.0</v>
      </c>
      <c r="AU9" s="23">
        <v>45315.0</v>
      </c>
      <c r="AV9" s="73">
        <v>48.0</v>
      </c>
      <c r="BD9" s="23">
        <v>45316.0</v>
      </c>
      <c r="BE9" s="73">
        <v>51.0</v>
      </c>
    </row>
    <row r="10">
      <c r="A10" s="10">
        <v>45266.0</v>
      </c>
      <c r="B10" s="105">
        <v>51.0</v>
      </c>
      <c r="J10" s="129">
        <v>45273.0</v>
      </c>
      <c r="K10" s="73">
        <v>52.0</v>
      </c>
      <c r="T10" s="10">
        <v>45272.0</v>
      </c>
      <c r="U10" s="15">
        <v>54.0</v>
      </c>
      <c r="AC10" s="10">
        <v>45274.0</v>
      </c>
      <c r="AD10" s="15">
        <v>56.0</v>
      </c>
      <c r="AL10" s="23">
        <v>45311.0</v>
      </c>
      <c r="AM10" s="73">
        <v>60.0</v>
      </c>
      <c r="AU10" s="23">
        <v>45316.0</v>
      </c>
      <c r="AV10" s="73">
        <v>54.0</v>
      </c>
      <c r="BD10" s="23">
        <v>45317.0</v>
      </c>
      <c r="BE10" s="73">
        <v>44.0</v>
      </c>
    </row>
    <row r="11">
      <c r="A11" s="10">
        <v>45268.0</v>
      </c>
      <c r="B11" s="105">
        <v>51.0</v>
      </c>
      <c r="J11" s="129">
        <v>45274.0</v>
      </c>
      <c r="K11" s="73">
        <v>51.0</v>
      </c>
      <c r="T11" s="10">
        <v>45273.0</v>
      </c>
      <c r="U11" s="15">
        <v>44.0</v>
      </c>
      <c r="AC11" s="10">
        <v>45275.0</v>
      </c>
      <c r="AD11" s="15">
        <v>56.0</v>
      </c>
      <c r="AL11" s="23">
        <v>45313.0</v>
      </c>
      <c r="AM11" s="73">
        <v>50.0</v>
      </c>
      <c r="AU11" s="23">
        <v>45317.0</v>
      </c>
      <c r="AV11" s="73">
        <v>54.0</v>
      </c>
      <c r="BD11" s="23">
        <v>45321.0</v>
      </c>
      <c r="BE11" s="73">
        <v>50.0</v>
      </c>
    </row>
    <row r="12">
      <c r="A12" s="10">
        <v>45272.0</v>
      </c>
      <c r="B12" s="105">
        <v>48.0</v>
      </c>
      <c r="J12" s="129">
        <v>45275.0</v>
      </c>
      <c r="K12" s="73">
        <v>55.0</v>
      </c>
      <c r="T12" s="10">
        <v>45274.0</v>
      </c>
      <c r="U12" s="15">
        <v>48.0</v>
      </c>
      <c r="AC12" s="10">
        <v>45276.0</v>
      </c>
      <c r="AD12" s="15">
        <v>53.0</v>
      </c>
      <c r="AL12" s="23">
        <v>45314.0</v>
      </c>
      <c r="AM12" s="73">
        <v>42.0</v>
      </c>
      <c r="AU12" s="23">
        <v>45321.0</v>
      </c>
      <c r="AV12" s="73">
        <v>53.0</v>
      </c>
      <c r="BD12" s="23">
        <v>45323.0</v>
      </c>
      <c r="BE12" s="73">
        <v>50.0</v>
      </c>
    </row>
    <row r="13">
      <c r="A13" s="10">
        <v>45273.0</v>
      </c>
      <c r="B13" s="105">
        <v>42.0</v>
      </c>
      <c r="J13" s="129">
        <v>45276.0</v>
      </c>
      <c r="K13" s="73">
        <v>52.0</v>
      </c>
      <c r="T13" s="10">
        <v>45275.0</v>
      </c>
      <c r="U13" s="15">
        <v>48.0</v>
      </c>
      <c r="AC13" s="129">
        <v>45277.0</v>
      </c>
      <c r="AD13" s="15">
        <v>56.0</v>
      </c>
      <c r="AL13" s="23">
        <v>45315.0</v>
      </c>
      <c r="AM13" s="73">
        <v>49.0</v>
      </c>
      <c r="AU13" s="23">
        <v>45323.0</v>
      </c>
      <c r="AV13" s="73">
        <v>54.0</v>
      </c>
      <c r="BD13" s="23">
        <v>45324.0</v>
      </c>
      <c r="BE13" s="73">
        <v>52.0</v>
      </c>
    </row>
    <row r="14">
      <c r="A14" s="10">
        <v>45274.0</v>
      </c>
      <c r="B14" s="105">
        <v>42.0</v>
      </c>
      <c r="J14" s="129">
        <v>45277.0</v>
      </c>
      <c r="K14" s="73">
        <v>54.0</v>
      </c>
      <c r="T14" s="10">
        <v>45276.0</v>
      </c>
      <c r="U14" s="15">
        <v>48.0</v>
      </c>
      <c r="AC14" s="129">
        <v>45278.0</v>
      </c>
      <c r="AD14" s="15">
        <v>55.0</v>
      </c>
      <c r="AL14" s="23">
        <v>45316.0</v>
      </c>
      <c r="AM14" s="73">
        <v>49.0</v>
      </c>
      <c r="AU14" s="23">
        <v>45327.0</v>
      </c>
      <c r="AV14" s="73">
        <v>59.0</v>
      </c>
      <c r="BD14" s="23">
        <v>45327.0</v>
      </c>
      <c r="BE14" s="73">
        <v>46.0</v>
      </c>
    </row>
    <row r="15">
      <c r="A15" s="10">
        <v>45275.0</v>
      </c>
      <c r="B15" s="105">
        <v>39.0</v>
      </c>
      <c r="J15" s="129">
        <v>45278.0</v>
      </c>
      <c r="K15" s="73">
        <v>54.0</v>
      </c>
      <c r="T15" s="129">
        <v>45277.0</v>
      </c>
      <c r="U15" s="15">
        <v>50.0</v>
      </c>
      <c r="AC15" s="129">
        <v>45279.0</v>
      </c>
      <c r="AD15" s="15">
        <v>62.0</v>
      </c>
      <c r="AL15" s="23">
        <v>45317.0</v>
      </c>
      <c r="AM15" s="73">
        <v>55.0</v>
      </c>
      <c r="AU15" s="23">
        <v>45328.0</v>
      </c>
      <c r="AV15" s="73">
        <v>55.0</v>
      </c>
      <c r="BD15" s="23">
        <v>45328.0</v>
      </c>
      <c r="BE15" s="73">
        <v>46.0</v>
      </c>
    </row>
    <row r="16">
      <c r="A16" s="129">
        <v>45276.0</v>
      </c>
      <c r="B16" s="105">
        <v>55.0</v>
      </c>
      <c r="J16" s="129">
        <v>45279.0</v>
      </c>
      <c r="K16" s="73">
        <v>54.0</v>
      </c>
      <c r="T16" s="129">
        <v>45278.0</v>
      </c>
      <c r="U16" s="15">
        <v>50.0</v>
      </c>
      <c r="AC16" s="129">
        <v>45280.0</v>
      </c>
      <c r="AD16" s="15">
        <v>60.0</v>
      </c>
      <c r="AL16" s="23">
        <v>45321.0</v>
      </c>
      <c r="AM16" s="73">
        <v>46.0</v>
      </c>
      <c r="AU16" s="23">
        <v>45329.0</v>
      </c>
      <c r="AV16" s="73">
        <v>57.0</v>
      </c>
      <c r="BD16" s="23">
        <v>45329.0</v>
      </c>
      <c r="BE16" s="73">
        <v>43.0</v>
      </c>
    </row>
    <row r="17">
      <c r="A17" s="129">
        <v>45277.0</v>
      </c>
      <c r="B17" s="105">
        <v>60.0</v>
      </c>
      <c r="J17" s="129">
        <v>45280.0</v>
      </c>
      <c r="K17" s="73">
        <v>54.0</v>
      </c>
      <c r="T17" s="129">
        <v>45279.0</v>
      </c>
      <c r="U17" s="15">
        <v>52.0</v>
      </c>
      <c r="AC17" s="129">
        <v>45281.0</v>
      </c>
      <c r="AD17" s="15">
        <v>63.0</v>
      </c>
      <c r="AL17" s="23">
        <v>45323.0</v>
      </c>
      <c r="AM17" s="73">
        <v>60.0</v>
      </c>
      <c r="AU17" s="23">
        <v>45330.0</v>
      </c>
      <c r="AV17" s="73">
        <v>54.0</v>
      </c>
      <c r="BD17" s="23">
        <v>45330.0</v>
      </c>
      <c r="BE17" s="73">
        <v>42.0</v>
      </c>
    </row>
    <row r="18">
      <c r="A18" s="129">
        <v>45278.0</v>
      </c>
      <c r="B18" s="105">
        <v>56.0</v>
      </c>
      <c r="J18" s="129">
        <v>45281.0</v>
      </c>
      <c r="K18" s="73">
        <v>59.0</v>
      </c>
      <c r="T18" s="129">
        <v>45280.0</v>
      </c>
      <c r="U18" s="15">
        <v>56.0</v>
      </c>
      <c r="AC18" s="129">
        <v>45282.0</v>
      </c>
      <c r="AD18" s="15">
        <v>58.0</v>
      </c>
      <c r="AL18" s="23">
        <v>45324.0</v>
      </c>
      <c r="AM18" s="73">
        <v>43.0</v>
      </c>
      <c r="AU18" s="23">
        <v>45331.0</v>
      </c>
      <c r="AV18" s="73">
        <v>56.0</v>
      </c>
      <c r="BD18" s="23">
        <v>45331.0</v>
      </c>
      <c r="BE18" s="73">
        <v>44.0</v>
      </c>
    </row>
    <row r="19">
      <c r="A19" s="129">
        <v>45279.0</v>
      </c>
      <c r="B19" s="105">
        <v>58.0</v>
      </c>
      <c r="J19" s="129">
        <v>45282.0</v>
      </c>
      <c r="K19" s="73">
        <v>56.0</v>
      </c>
      <c r="T19" s="129">
        <v>45281.0</v>
      </c>
      <c r="U19" s="15">
        <v>58.0</v>
      </c>
      <c r="AC19" s="129">
        <v>45286.0</v>
      </c>
      <c r="AD19" s="15">
        <v>60.0</v>
      </c>
      <c r="AL19" s="23">
        <v>45324.0</v>
      </c>
      <c r="AM19" s="73">
        <v>46.0</v>
      </c>
      <c r="AU19" s="23">
        <v>45334.0</v>
      </c>
      <c r="AV19" s="73">
        <v>57.0</v>
      </c>
      <c r="BD19" s="23">
        <v>45334.0</v>
      </c>
      <c r="BE19" s="73">
        <v>41.0</v>
      </c>
    </row>
    <row r="20">
      <c r="A20" s="129">
        <v>45280.0</v>
      </c>
      <c r="B20" s="105">
        <v>62.0</v>
      </c>
      <c r="J20" s="129">
        <v>45286.0</v>
      </c>
      <c r="K20" s="73">
        <v>58.0</v>
      </c>
      <c r="T20" s="129">
        <v>45282.0</v>
      </c>
      <c r="U20" s="15">
        <v>54.0</v>
      </c>
      <c r="AC20" s="129">
        <v>45287.0</v>
      </c>
      <c r="AD20" s="15">
        <v>62.0</v>
      </c>
      <c r="AL20" s="23">
        <v>45327.0</v>
      </c>
      <c r="AM20" s="73">
        <v>60.0</v>
      </c>
      <c r="AU20" s="23">
        <v>45336.0</v>
      </c>
      <c r="AV20" s="73">
        <v>58.0</v>
      </c>
      <c r="BD20" s="23">
        <v>45336.0</v>
      </c>
      <c r="BE20" s="73">
        <v>39.0</v>
      </c>
    </row>
    <row r="21">
      <c r="A21" s="129">
        <v>45281.0</v>
      </c>
      <c r="B21" s="105">
        <v>63.0</v>
      </c>
      <c r="J21" s="129">
        <v>45287.0</v>
      </c>
      <c r="K21" s="73">
        <v>62.0</v>
      </c>
      <c r="T21" s="129">
        <v>45286.0</v>
      </c>
      <c r="U21" s="15">
        <v>68.0</v>
      </c>
      <c r="AC21" s="129">
        <v>45288.0</v>
      </c>
      <c r="AD21" s="15">
        <v>62.0</v>
      </c>
      <c r="AL21" s="23">
        <v>45328.0</v>
      </c>
      <c r="AM21" s="73">
        <v>60.0</v>
      </c>
      <c r="AU21" s="23">
        <v>45337.0</v>
      </c>
      <c r="AV21" s="73">
        <v>53.0</v>
      </c>
      <c r="BD21" s="23">
        <v>45337.0</v>
      </c>
      <c r="BE21" s="73">
        <v>36.0</v>
      </c>
    </row>
    <row r="22">
      <c r="A22" s="129">
        <v>45282.0</v>
      </c>
      <c r="B22" s="105">
        <v>56.0</v>
      </c>
      <c r="J22" s="129">
        <v>45288.0</v>
      </c>
      <c r="K22" s="73">
        <v>56.0</v>
      </c>
      <c r="T22" s="129">
        <v>45287.0</v>
      </c>
      <c r="U22" s="15">
        <v>66.0</v>
      </c>
      <c r="AC22" s="129">
        <v>45289.0</v>
      </c>
      <c r="AD22" s="15">
        <v>66.0</v>
      </c>
      <c r="AL22" s="23">
        <v>45329.0</v>
      </c>
      <c r="AM22" s="73">
        <v>60.0</v>
      </c>
      <c r="AU22" s="23">
        <v>45338.0</v>
      </c>
      <c r="AV22" s="73">
        <v>54.0</v>
      </c>
      <c r="BD22" s="23">
        <v>45338.0</v>
      </c>
      <c r="BE22" s="73">
        <v>36.0</v>
      </c>
    </row>
    <row r="23">
      <c r="A23" s="129">
        <v>45286.0</v>
      </c>
      <c r="B23" s="105">
        <v>56.0</v>
      </c>
      <c r="J23" s="129">
        <v>45289.0</v>
      </c>
      <c r="K23" s="73">
        <v>60.0</v>
      </c>
      <c r="T23" s="129">
        <v>45288.0</v>
      </c>
      <c r="U23" s="15">
        <v>64.0</v>
      </c>
      <c r="AC23" s="129">
        <v>45290.0</v>
      </c>
      <c r="AD23" s="15">
        <v>60.0</v>
      </c>
      <c r="AL23" s="23">
        <v>45330.0</v>
      </c>
      <c r="AM23" s="73">
        <v>60.0</v>
      </c>
      <c r="AU23" s="23">
        <v>45341.0</v>
      </c>
      <c r="AV23" s="73">
        <v>58.0</v>
      </c>
      <c r="BD23" s="23">
        <v>45341.0</v>
      </c>
      <c r="BE23" s="73">
        <v>38.0</v>
      </c>
    </row>
    <row r="24">
      <c r="A24" s="129">
        <v>45287.0</v>
      </c>
      <c r="B24" s="105">
        <v>52.0</v>
      </c>
      <c r="J24" s="129">
        <v>45290.0</v>
      </c>
      <c r="K24" s="73">
        <v>62.0</v>
      </c>
      <c r="T24" s="129">
        <v>45289.0</v>
      </c>
      <c r="U24" s="15">
        <v>61.0</v>
      </c>
      <c r="AC24" s="129">
        <v>45291.0</v>
      </c>
      <c r="AD24" s="15">
        <v>61.0</v>
      </c>
      <c r="AL24" s="23">
        <v>45331.0</v>
      </c>
      <c r="AM24" s="73">
        <v>60.0</v>
      </c>
    </row>
    <row r="25">
      <c r="A25" s="129">
        <v>45288.0</v>
      </c>
      <c r="B25" s="105">
        <v>56.0</v>
      </c>
      <c r="J25" s="129">
        <v>45291.0</v>
      </c>
      <c r="K25" s="73">
        <v>60.0</v>
      </c>
      <c r="T25" s="129">
        <v>45290.0</v>
      </c>
      <c r="U25" s="15">
        <v>63.0</v>
      </c>
      <c r="AC25" s="129">
        <v>45293.0</v>
      </c>
      <c r="AD25" s="15">
        <v>60.0</v>
      </c>
      <c r="AL25" s="23">
        <v>45334.0</v>
      </c>
      <c r="AM25" s="15">
        <v>60.0</v>
      </c>
    </row>
    <row r="26">
      <c r="A26" s="129">
        <v>45289.0</v>
      </c>
      <c r="B26" s="105">
        <v>50.0</v>
      </c>
      <c r="J26" s="129">
        <v>45293.0</v>
      </c>
      <c r="K26" s="73">
        <v>62.0</v>
      </c>
      <c r="T26" s="129">
        <v>45291.0</v>
      </c>
      <c r="U26" s="15">
        <v>62.0</v>
      </c>
      <c r="AC26" s="129">
        <v>45294.0</v>
      </c>
      <c r="AD26" s="15">
        <v>54.0</v>
      </c>
      <c r="AL26" s="23">
        <v>45336.0</v>
      </c>
      <c r="AM26" s="15">
        <v>61.0</v>
      </c>
    </row>
    <row r="27">
      <c r="A27" s="129">
        <v>45290.0</v>
      </c>
      <c r="B27" s="105">
        <v>50.0</v>
      </c>
      <c r="J27" s="129">
        <v>45294.0</v>
      </c>
      <c r="K27" s="73">
        <v>58.0</v>
      </c>
      <c r="T27" s="129">
        <v>45293.0</v>
      </c>
      <c r="U27" s="15">
        <v>58.0</v>
      </c>
      <c r="AC27" s="129">
        <v>45295.0</v>
      </c>
      <c r="AD27" s="15">
        <v>47.0</v>
      </c>
      <c r="AL27" s="23">
        <v>45337.0</v>
      </c>
      <c r="AM27" s="15">
        <v>59.0</v>
      </c>
    </row>
    <row r="28">
      <c r="A28" s="129">
        <v>45291.0</v>
      </c>
      <c r="B28" s="105">
        <v>64.0</v>
      </c>
      <c r="J28" s="129">
        <v>45295.0</v>
      </c>
      <c r="K28" s="73">
        <v>56.0</v>
      </c>
      <c r="T28" s="129">
        <v>45294.0</v>
      </c>
      <c r="U28" s="15">
        <v>52.0</v>
      </c>
      <c r="AC28" s="106">
        <v>45296.0</v>
      </c>
      <c r="AD28" s="105">
        <v>45.0</v>
      </c>
      <c r="AL28" s="23">
        <v>45338.0</v>
      </c>
      <c r="AM28" s="15">
        <v>57.0</v>
      </c>
    </row>
    <row r="29">
      <c r="A29" s="129">
        <v>45293.0</v>
      </c>
      <c r="B29" s="105">
        <v>61.0</v>
      </c>
      <c r="J29" s="129">
        <v>45296.0</v>
      </c>
      <c r="K29" s="73">
        <v>56.0</v>
      </c>
      <c r="T29" s="129">
        <v>45295.0</v>
      </c>
      <c r="U29" s="15">
        <v>47.0</v>
      </c>
      <c r="AC29" s="129">
        <v>45297.0</v>
      </c>
      <c r="AD29" s="15">
        <v>62.0</v>
      </c>
      <c r="AL29" s="23">
        <v>45341.0</v>
      </c>
      <c r="AM29" s="73">
        <v>57.0</v>
      </c>
    </row>
    <row r="30">
      <c r="A30" s="129">
        <v>45294.0</v>
      </c>
      <c r="B30" s="105">
        <v>50.0</v>
      </c>
      <c r="J30" s="129">
        <v>45297.0</v>
      </c>
      <c r="K30" s="73">
        <v>62.0</v>
      </c>
      <c r="T30" s="129">
        <v>45296.0</v>
      </c>
      <c r="U30" s="15">
        <v>54.0</v>
      </c>
      <c r="AC30" s="129">
        <v>45299.0</v>
      </c>
      <c r="AD30" s="15">
        <v>60.0</v>
      </c>
    </row>
    <row r="31">
      <c r="A31" s="129">
        <v>45295.0</v>
      </c>
      <c r="B31" s="105">
        <v>46.0</v>
      </c>
      <c r="J31" s="129">
        <v>45299.0</v>
      </c>
      <c r="K31" s="73">
        <v>64.0</v>
      </c>
      <c r="T31" s="129">
        <v>45297.0</v>
      </c>
      <c r="U31" s="15">
        <v>54.0</v>
      </c>
      <c r="AC31" s="129">
        <v>45300.0</v>
      </c>
      <c r="AD31" s="15">
        <v>60.0</v>
      </c>
    </row>
    <row r="32">
      <c r="A32" s="129">
        <v>45296.0</v>
      </c>
      <c r="B32" s="105">
        <v>47.0</v>
      </c>
      <c r="J32" s="129">
        <v>45300.0</v>
      </c>
      <c r="K32" s="73">
        <v>64.0</v>
      </c>
      <c r="T32" s="129">
        <v>45299.0</v>
      </c>
      <c r="U32" s="15">
        <v>62.0</v>
      </c>
      <c r="AC32" s="129">
        <v>45301.0</v>
      </c>
      <c r="AD32" s="15">
        <v>69.0</v>
      </c>
    </row>
    <row r="33">
      <c r="A33" s="129">
        <v>45297.0</v>
      </c>
      <c r="B33" s="105">
        <v>54.0</v>
      </c>
      <c r="J33" s="129">
        <v>45301.0</v>
      </c>
      <c r="K33" s="73">
        <v>60.0</v>
      </c>
      <c r="T33" s="129">
        <v>45300.0</v>
      </c>
      <c r="U33" s="15">
        <v>63.0</v>
      </c>
      <c r="AC33" s="129">
        <v>45302.0</v>
      </c>
      <c r="AD33" s="73">
        <v>68.0</v>
      </c>
    </row>
    <row r="34">
      <c r="A34" s="129">
        <v>45299.0</v>
      </c>
      <c r="B34" s="105">
        <v>47.0</v>
      </c>
      <c r="J34" s="129">
        <v>45302.0</v>
      </c>
      <c r="K34" s="73">
        <v>64.0</v>
      </c>
      <c r="T34" s="129">
        <v>45301.0</v>
      </c>
      <c r="U34" s="15">
        <v>64.0</v>
      </c>
      <c r="AC34" s="129">
        <v>45303.0</v>
      </c>
      <c r="AD34" s="73">
        <v>65.0</v>
      </c>
    </row>
    <row r="35">
      <c r="A35" s="129">
        <v>45300.0</v>
      </c>
      <c r="B35" s="105">
        <v>43.0</v>
      </c>
      <c r="J35" s="129">
        <v>45303.0</v>
      </c>
      <c r="K35" s="73">
        <v>63.0</v>
      </c>
      <c r="T35" s="129">
        <v>45302.0</v>
      </c>
      <c r="U35" s="73">
        <v>61.0</v>
      </c>
      <c r="AC35" s="129">
        <v>45306.0</v>
      </c>
      <c r="AD35" s="73">
        <v>64.0</v>
      </c>
    </row>
    <row r="36">
      <c r="A36" s="129">
        <v>45301.0</v>
      </c>
      <c r="B36" s="110">
        <v>53.0</v>
      </c>
      <c r="J36" s="129">
        <v>45306.0</v>
      </c>
      <c r="K36" s="73">
        <v>59.0</v>
      </c>
      <c r="T36" s="129">
        <v>45303.0</v>
      </c>
      <c r="U36" s="73">
        <v>64.0</v>
      </c>
      <c r="AC36" s="129">
        <v>45307.0</v>
      </c>
      <c r="AD36" s="73">
        <v>63.0</v>
      </c>
    </row>
    <row r="37">
      <c r="A37" s="129">
        <v>45302.0</v>
      </c>
      <c r="B37" s="110">
        <v>56.0</v>
      </c>
      <c r="J37" s="129">
        <v>45307.0</v>
      </c>
      <c r="K37" s="73">
        <v>60.0</v>
      </c>
      <c r="T37" s="129">
        <v>45306.0</v>
      </c>
      <c r="U37" s="73">
        <v>60.0</v>
      </c>
      <c r="AC37" s="129">
        <v>45308.0</v>
      </c>
      <c r="AD37" s="73">
        <v>60.0</v>
      </c>
    </row>
    <row r="38">
      <c r="A38" s="129">
        <v>45303.0</v>
      </c>
      <c r="B38" s="110">
        <v>63.0</v>
      </c>
      <c r="J38" s="129">
        <v>45308.0</v>
      </c>
      <c r="K38" s="73">
        <v>61.0</v>
      </c>
      <c r="T38" s="129">
        <v>45307.0</v>
      </c>
      <c r="U38" s="73">
        <v>58.0</v>
      </c>
      <c r="AC38" s="129">
        <v>45309.0</v>
      </c>
      <c r="AD38" s="73">
        <v>54.0</v>
      </c>
    </row>
    <row r="39">
      <c r="A39" s="129">
        <v>45306.0</v>
      </c>
      <c r="B39" s="110">
        <v>60.0</v>
      </c>
      <c r="J39" s="129">
        <v>45309.0</v>
      </c>
      <c r="K39" s="73">
        <v>60.0</v>
      </c>
      <c r="T39" s="129">
        <v>45308.0</v>
      </c>
      <c r="U39" s="73">
        <v>62.0</v>
      </c>
      <c r="AC39" s="129">
        <v>45310.0</v>
      </c>
      <c r="AD39" s="73">
        <v>60.0</v>
      </c>
    </row>
    <row r="40">
      <c r="A40" s="129">
        <v>45307.0</v>
      </c>
      <c r="B40" s="110">
        <v>57.0</v>
      </c>
      <c r="J40" s="129">
        <v>45310.0</v>
      </c>
      <c r="K40" s="73">
        <v>64.0</v>
      </c>
      <c r="T40" s="129">
        <v>45309.0</v>
      </c>
      <c r="U40" s="73">
        <v>57.0</v>
      </c>
      <c r="AC40" s="129">
        <v>45311.0</v>
      </c>
      <c r="AD40" s="73">
        <v>60.0</v>
      </c>
    </row>
    <row r="41">
      <c r="A41" s="129">
        <v>45308.0</v>
      </c>
      <c r="B41" s="110">
        <v>55.0</v>
      </c>
      <c r="J41" s="129">
        <v>45311.0</v>
      </c>
      <c r="K41" s="73">
        <v>62.0</v>
      </c>
      <c r="T41" s="129">
        <v>45310.0</v>
      </c>
      <c r="U41" s="73">
        <v>58.0</v>
      </c>
      <c r="AC41" s="129">
        <v>45313.0</v>
      </c>
      <c r="AD41" s="73">
        <v>60.0</v>
      </c>
    </row>
    <row r="42">
      <c r="A42" s="129">
        <v>45309.0</v>
      </c>
      <c r="B42" s="110">
        <v>58.0</v>
      </c>
      <c r="J42" s="129">
        <v>45313.0</v>
      </c>
      <c r="K42" s="73">
        <v>58.0</v>
      </c>
      <c r="T42" s="129">
        <v>45311.0</v>
      </c>
      <c r="U42" s="73">
        <v>60.0</v>
      </c>
      <c r="AC42" s="129">
        <v>45314.0</v>
      </c>
      <c r="AD42" s="73">
        <v>54.0</v>
      </c>
    </row>
    <row r="43">
      <c r="A43" s="129">
        <v>45310.0</v>
      </c>
      <c r="B43" s="110">
        <v>52.0</v>
      </c>
      <c r="J43" s="129">
        <v>45314.0</v>
      </c>
      <c r="K43" s="73">
        <v>58.0</v>
      </c>
      <c r="T43" s="129">
        <v>45313.0</v>
      </c>
      <c r="U43" s="73">
        <v>56.0</v>
      </c>
      <c r="AC43" s="129">
        <v>45315.0</v>
      </c>
      <c r="AD43" s="73">
        <v>58.0</v>
      </c>
    </row>
    <row r="44">
      <c r="A44" s="129">
        <v>45311.0</v>
      </c>
      <c r="B44" s="110">
        <v>48.0</v>
      </c>
      <c r="J44" s="129">
        <v>45315.0</v>
      </c>
      <c r="K44" s="73">
        <v>56.0</v>
      </c>
      <c r="T44" s="129">
        <v>45314.0</v>
      </c>
      <c r="U44" s="73">
        <v>54.0</v>
      </c>
      <c r="AC44" s="23">
        <v>45316.0</v>
      </c>
      <c r="AD44" s="73">
        <v>53.0</v>
      </c>
    </row>
    <row r="45">
      <c r="A45" s="129">
        <v>45313.0</v>
      </c>
      <c r="B45" s="110">
        <v>44.0</v>
      </c>
      <c r="J45" s="23">
        <v>45316.0</v>
      </c>
      <c r="K45" s="73">
        <v>57.0</v>
      </c>
      <c r="T45" s="129">
        <v>45315.0</v>
      </c>
      <c r="U45" s="73">
        <v>50.0</v>
      </c>
      <c r="AC45" s="23">
        <v>45317.0</v>
      </c>
      <c r="AD45" s="73">
        <v>56.0</v>
      </c>
    </row>
    <row r="46">
      <c r="A46" s="129">
        <v>45314.0</v>
      </c>
      <c r="B46" s="110">
        <v>46.0</v>
      </c>
      <c r="J46" s="23">
        <v>45317.0</v>
      </c>
      <c r="K46" s="73">
        <v>54.0</v>
      </c>
      <c r="T46" s="23">
        <v>45316.0</v>
      </c>
      <c r="U46" s="73">
        <v>56.0</v>
      </c>
      <c r="AC46" s="23">
        <v>45321.0</v>
      </c>
      <c r="AD46" s="73">
        <v>58.0</v>
      </c>
    </row>
    <row r="47">
      <c r="A47" s="129">
        <v>45315.0</v>
      </c>
      <c r="B47" s="110">
        <v>40.0</v>
      </c>
      <c r="J47" s="23">
        <v>45321.0</v>
      </c>
      <c r="K47" s="73">
        <v>58.0</v>
      </c>
      <c r="T47" s="23">
        <v>45317.0</v>
      </c>
      <c r="U47" s="73">
        <v>54.0</v>
      </c>
      <c r="AC47" s="23">
        <v>45323.0</v>
      </c>
      <c r="AD47" s="73">
        <v>45.0</v>
      </c>
    </row>
    <row r="48">
      <c r="A48" s="23">
        <v>45316.0</v>
      </c>
      <c r="B48" s="110">
        <v>39.0</v>
      </c>
      <c r="J48" s="23">
        <v>45323.0</v>
      </c>
      <c r="K48" s="73">
        <v>52.0</v>
      </c>
      <c r="T48" s="23">
        <v>45321.0</v>
      </c>
      <c r="U48" s="73">
        <v>52.0</v>
      </c>
      <c r="AC48" s="23">
        <v>45324.0</v>
      </c>
      <c r="AD48" s="73">
        <v>54.0</v>
      </c>
    </row>
    <row r="49">
      <c r="A49" s="23">
        <v>45317.0</v>
      </c>
      <c r="B49" s="110">
        <v>42.0</v>
      </c>
      <c r="J49" s="23">
        <v>45324.0</v>
      </c>
      <c r="K49" s="73">
        <v>51.0</v>
      </c>
      <c r="T49" s="23">
        <v>45323.0</v>
      </c>
      <c r="U49" s="73">
        <v>50.0</v>
      </c>
      <c r="AC49" s="23">
        <v>45327.0</v>
      </c>
      <c r="AD49" s="73">
        <v>54.0</v>
      </c>
    </row>
    <row r="50">
      <c r="A50" s="23">
        <v>45321.0</v>
      </c>
      <c r="B50" s="110">
        <v>44.0</v>
      </c>
      <c r="J50" s="23">
        <v>45327.0</v>
      </c>
      <c r="K50" s="73">
        <v>40.0</v>
      </c>
      <c r="T50" s="23">
        <v>45324.0</v>
      </c>
      <c r="U50" s="73">
        <v>51.0</v>
      </c>
      <c r="AC50" s="23">
        <v>45328.0</v>
      </c>
      <c r="AD50" s="73">
        <v>58.0</v>
      </c>
    </row>
    <row r="51">
      <c r="A51" s="23">
        <v>45323.0</v>
      </c>
      <c r="B51" s="110">
        <v>45.0</v>
      </c>
      <c r="J51" s="23">
        <v>45328.0</v>
      </c>
      <c r="K51" s="73">
        <v>54.0</v>
      </c>
      <c r="T51" s="23">
        <v>45327.0</v>
      </c>
      <c r="U51" s="73">
        <v>56.0</v>
      </c>
      <c r="AC51" s="23">
        <v>45329.0</v>
      </c>
      <c r="AD51" s="73">
        <v>52.0</v>
      </c>
    </row>
    <row r="52">
      <c r="A52" s="23">
        <v>45324.0</v>
      </c>
      <c r="B52" s="110">
        <v>40.0</v>
      </c>
      <c r="J52" s="23">
        <v>45329.0</v>
      </c>
      <c r="K52" s="73">
        <v>58.0</v>
      </c>
      <c r="T52" s="23">
        <v>45328.0</v>
      </c>
      <c r="U52" s="73">
        <v>55.0</v>
      </c>
      <c r="AC52" s="23">
        <v>45330.0</v>
      </c>
      <c r="AD52" s="73">
        <v>50.0</v>
      </c>
    </row>
    <row r="53">
      <c r="A53" s="23">
        <v>45328.0</v>
      </c>
      <c r="B53" s="110">
        <v>41.0</v>
      </c>
      <c r="J53" s="23">
        <v>45330.0</v>
      </c>
      <c r="K53" s="73">
        <v>60.0</v>
      </c>
      <c r="T53" s="23">
        <v>45329.0</v>
      </c>
      <c r="U53" s="73">
        <v>50.0</v>
      </c>
      <c r="AC53" s="23">
        <v>45331.0</v>
      </c>
      <c r="AD53" s="73">
        <v>58.0</v>
      </c>
    </row>
    <row r="54">
      <c r="A54" s="23">
        <v>45329.0</v>
      </c>
      <c r="B54" s="110">
        <v>42.0</v>
      </c>
      <c r="J54" s="23">
        <v>45331.0</v>
      </c>
      <c r="K54" s="73">
        <v>52.0</v>
      </c>
      <c r="T54" s="23">
        <v>45330.0</v>
      </c>
      <c r="U54" s="73">
        <v>52.0</v>
      </c>
      <c r="AC54" s="23">
        <v>45334.0</v>
      </c>
      <c r="AD54" s="73">
        <v>51.0</v>
      </c>
    </row>
    <row r="55">
      <c r="A55" s="23">
        <v>45330.0</v>
      </c>
      <c r="B55" s="110">
        <v>46.0</v>
      </c>
      <c r="J55" s="23">
        <v>45334.0</v>
      </c>
      <c r="K55" s="73">
        <v>50.0</v>
      </c>
      <c r="T55" s="23">
        <v>45331.0</v>
      </c>
      <c r="U55" s="73">
        <v>51.0</v>
      </c>
      <c r="AC55" s="23">
        <v>45336.0</v>
      </c>
      <c r="AD55" s="73">
        <v>51.0</v>
      </c>
    </row>
    <row r="56">
      <c r="A56" s="23">
        <v>45331.0</v>
      </c>
      <c r="B56" s="110">
        <v>50.0</v>
      </c>
      <c r="J56" s="23">
        <v>45336.0</v>
      </c>
      <c r="K56" s="73">
        <v>50.0</v>
      </c>
      <c r="T56" s="23">
        <v>45334.0</v>
      </c>
      <c r="U56" s="73">
        <v>50.0</v>
      </c>
      <c r="AC56" s="23">
        <v>45337.0</v>
      </c>
      <c r="AD56" s="73">
        <v>50.0</v>
      </c>
    </row>
    <row r="57">
      <c r="A57" s="23">
        <v>45334.0</v>
      </c>
      <c r="B57" s="110">
        <v>43.0</v>
      </c>
      <c r="J57" s="23">
        <v>45337.0</v>
      </c>
      <c r="K57" s="73">
        <v>50.0</v>
      </c>
      <c r="T57" s="23">
        <v>45336.0</v>
      </c>
      <c r="U57" s="73">
        <v>52.0</v>
      </c>
      <c r="AC57" s="23">
        <v>45338.0</v>
      </c>
      <c r="AD57" s="73">
        <v>43.0</v>
      </c>
    </row>
    <row r="58">
      <c r="A58" s="23">
        <v>45336.0</v>
      </c>
      <c r="B58" s="110">
        <v>46.0</v>
      </c>
      <c r="J58" s="23">
        <v>45338.0</v>
      </c>
      <c r="K58" s="73">
        <v>50.0</v>
      </c>
      <c r="T58" s="23">
        <v>45337.0</v>
      </c>
      <c r="U58" s="73">
        <v>50.0</v>
      </c>
      <c r="AC58" s="23">
        <v>45341.0</v>
      </c>
      <c r="AD58" s="73">
        <v>55.0</v>
      </c>
    </row>
    <row r="59">
      <c r="A59" s="23">
        <v>45337.0</v>
      </c>
      <c r="B59" s="110">
        <v>43.0</v>
      </c>
      <c r="J59" s="23">
        <v>45341.0</v>
      </c>
      <c r="K59" s="73">
        <v>48.0</v>
      </c>
      <c r="T59" s="23">
        <v>45338.0</v>
      </c>
      <c r="U59" s="73">
        <v>48.0</v>
      </c>
      <c r="AC59" s="23">
        <v>45342.0</v>
      </c>
      <c r="AD59" s="15">
        <v>37.0</v>
      </c>
    </row>
    <row r="60">
      <c r="A60" s="23">
        <v>45338.0</v>
      </c>
      <c r="B60" s="110">
        <v>40.0</v>
      </c>
      <c r="J60" s="23">
        <v>45342.0</v>
      </c>
      <c r="K60" s="15">
        <v>50.0</v>
      </c>
      <c r="T60" s="23">
        <v>45341.0</v>
      </c>
      <c r="U60" s="73">
        <v>51.0</v>
      </c>
      <c r="AC60" s="23">
        <v>45343.0</v>
      </c>
      <c r="AD60" s="15">
        <v>47.0</v>
      </c>
    </row>
    <row r="61">
      <c r="A61" s="23">
        <v>45341.0</v>
      </c>
      <c r="B61" s="110">
        <v>38.0</v>
      </c>
      <c r="J61" s="23">
        <v>45343.0</v>
      </c>
      <c r="K61" s="15">
        <v>46.0</v>
      </c>
      <c r="T61" s="23">
        <v>45342.0</v>
      </c>
      <c r="U61" s="15">
        <v>48.0</v>
      </c>
      <c r="AC61" s="23">
        <v>45344.0</v>
      </c>
      <c r="AD61" s="15">
        <v>47.0</v>
      </c>
    </row>
    <row r="62">
      <c r="A62" s="23">
        <v>45342.0</v>
      </c>
      <c r="B62" s="15">
        <v>40.0</v>
      </c>
      <c r="J62" s="23">
        <v>45344.0</v>
      </c>
      <c r="K62" s="15">
        <v>46.0</v>
      </c>
      <c r="T62" s="23">
        <v>45343.0</v>
      </c>
      <c r="U62" s="15">
        <v>48.0</v>
      </c>
      <c r="AC62" s="23">
        <v>45345.0</v>
      </c>
      <c r="AD62" s="73">
        <v>48.0</v>
      </c>
    </row>
    <row r="63">
      <c r="A63" s="23">
        <v>45343.0</v>
      </c>
      <c r="B63" s="15">
        <v>40.0</v>
      </c>
      <c r="J63" s="23">
        <v>45345.0</v>
      </c>
      <c r="K63" s="15">
        <v>42.0</v>
      </c>
      <c r="T63" s="23">
        <v>45344.0</v>
      </c>
      <c r="U63" s="15">
        <v>48.0</v>
      </c>
      <c r="AC63" s="23">
        <v>45348.0</v>
      </c>
      <c r="AD63" s="73">
        <v>46.0</v>
      </c>
    </row>
    <row r="64">
      <c r="A64" s="23">
        <v>45344.0</v>
      </c>
      <c r="B64" s="15">
        <v>40.0</v>
      </c>
      <c r="J64" s="23">
        <v>45348.0</v>
      </c>
      <c r="K64" s="73">
        <v>46.0</v>
      </c>
      <c r="T64" s="23">
        <v>45345.0</v>
      </c>
      <c r="U64" s="15">
        <v>45.0</v>
      </c>
      <c r="AC64" s="23">
        <v>45349.0</v>
      </c>
      <c r="AD64" s="73">
        <v>46.0</v>
      </c>
    </row>
    <row r="65">
      <c r="A65" s="23">
        <v>45345.0</v>
      </c>
      <c r="B65" s="15">
        <v>40.0</v>
      </c>
      <c r="J65" s="23">
        <v>45349.0</v>
      </c>
      <c r="K65" s="73">
        <v>46.0</v>
      </c>
      <c r="T65" s="23">
        <v>45348.0</v>
      </c>
      <c r="U65" s="73">
        <v>40.0</v>
      </c>
      <c r="AC65" s="23">
        <v>45350.0</v>
      </c>
      <c r="AD65" s="73">
        <v>46.0</v>
      </c>
    </row>
    <row r="66">
      <c r="A66" s="23">
        <v>45348.0</v>
      </c>
      <c r="B66" s="73">
        <v>48.0</v>
      </c>
      <c r="J66" s="23">
        <v>45350.0</v>
      </c>
      <c r="K66" s="73">
        <v>46.0</v>
      </c>
      <c r="T66" s="23">
        <v>45349.0</v>
      </c>
      <c r="U66" s="73">
        <v>40.0</v>
      </c>
      <c r="AC66" s="23">
        <v>45351.0</v>
      </c>
      <c r="AD66" s="73">
        <v>42.0</v>
      </c>
    </row>
    <row r="67">
      <c r="A67" s="23">
        <v>45349.0</v>
      </c>
      <c r="B67" s="73">
        <v>43.0</v>
      </c>
      <c r="J67" s="23">
        <v>45351.0</v>
      </c>
      <c r="K67" s="73">
        <v>41.0</v>
      </c>
      <c r="T67" s="23">
        <v>45350.0</v>
      </c>
      <c r="U67" s="73">
        <v>40.0</v>
      </c>
      <c r="AC67" s="23">
        <v>45352.0</v>
      </c>
      <c r="AD67" s="73">
        <v>44.0</v>
      </c>
    </row>
    <row r="68">
      <c r="A68" s="23">
        <v>45350.0</v>
      </c>
      <c r="B68" s="73">
        <v>48.0</v>
      </c>
      <c r="J68" s="23">
        <v>45352.0</v>
      </c>
      <c r="K68" s="73">
        <v>44.0</v>
      </c>
      <c r="T68" s="23">
        <v>45351.0</v>
      </c>
      <c r="U68" s="73">
        <v>48.0</v>
      </c>
      <c r="AC68" s="23">
        <v>45355.0</v>
      </c>
      <c r="AD68" s="73">
        <v>39.0</v>
      </c>
    </row>
    <row r="69">
      <c r="A69" s="23">
        <v>45351.0</v>
      </c>
      <c r="B69" s="73">
        <v>40.0</v>
      </c>
      <c r="J69" s="23">
        <v>45355.0</v>
      </c>
      <c r="K69" s="73">
        <v>40.0</v>
      </c>
      <c r="T69" s="23">
        <v>45352.0</v>
      </c>
      <c r="U69" s="73">
        <v>46.0</v>
      </c>
      <c r="AC69" s="23">
        <v>45357.0</v>
      </c>
      <c r="AD69" s="73">
        <v>39.0</v>
      </c>
    </row>
    <row r="70">
      <c r="A70" s="23">
        <v>45352.0</v>
      </c>
      <c r="B70" s="73">
        <v>48.0</v>
      </c>
      <c r="J70" s="23">
        <v>45357.0</v>
      </c>
      <c r="K70" s="73">
        <v>40.0</v>
      </c>
      <c r="T70" s="23">
        <v>45355.0</v>
      </c>
      <c r="U70" s="73">
        <v>41.0</v>
      </c>
      <c r="AC70" s="23">
        <v>45359.0</v>
      </c>
      <c r="AD70" s="73">
        <v>42.0</v>
      </c>
    </row>
    <row r="71">
      <c r="A71" s="23">
        <v>45355.0</v>
      </c>
      <c r="B71" s="73">
        <v>38.0</v>
      </c>
      <c r="J71" s="23">
        <v>45359.0</v>
      </c>
      <c r="K71" s="73">
        <v>39.0</v>
      </c>
      <c r="T71" s="23">
        <v>45357.0</v>
      </c>
      <c r="U71" s="73">
        <v>41.0</v>
      </c>
      <c r="AC71" s="23">
        <v>45362.0</v>
      </c>
      <c r="AD71" s="73">
        <v>41.0</v>
      </c>
    </row>
    <row r="72">
      <c r="A72" s="23">
        <v>45357.0</v>
      </c>
      <c r="B72" s="73">
        <v>38.0</v>
      </c>
      <c r="J72" s="23">
        <v>45362.0</v>
      </c>
      <c r="K72" s="73">
        <v>39.0</v>
      </c>
      <c r="T72" s="23">
        <v>45359.0</v>
      </c>
      <c r="U72" s="73">
        <v>43.0</v>
      </c>
      <c r="AC72" s="23">
        <v>45364.0</v>
      </c>
      <c r="AD72" s="73">
        <v>40.0</v>
      </c>
    </row>
    <row r="73">
      <c r="A73" s="23">
        <v>45359.0</v>
      </c>
      <c r="B73" s="73">
        <v>39.0</v>
      </c>
      <c r="J73" s="23">
        <v>45364.0</v>
      </c>
      <c r="K73" s="73">
        <v>39.0</v>
      </c>
      <c r="T73" s="23">
        <v>45362.0</v>
      </c>
      <c r="U73" s="73">
        <v>44.0</v>
      </c>
      <c r="AC73" s="23">
        <v>45366.0</v>
      </c>
      <c r="AD73" s="73">
        <v>41.0</v>
      </c>
    </row>
    <row r="74">
      <c r="A74" s="23">
        <v>45362.0</v>
      </c>
      <c r="B74" s="73">
        <v>39.0</v>
      </c>
      <c r="J74" s="23">
        <v>45366.0</v>
      </c>
      <c r="K74" s="73">
        <v>43.0</v>
      </c>
      <c r="T74" s="23">
        <v>45364.0</v>
      </c>
      <c r="U74" s="73">
        <v>44.0</v>
      </c>
      <c r="AC74" s="112"/>
    </row>
    <row r="75">
      <c r="A75" s="23">
        <v>45364.0</v>
      </c>
      <c r="B75" s="73">
        <v>38.0</v>
      </c>
      <c r="J75" s="112"/>
      <c r="T75" s="23">
        <v>45366.0</v>
      </c>
      <c r="U75" s="73">
        <v>43.0</v>
      </c>
      <c r="AC75" s="112"/>
    </row>
    <row r="76">
      <c r="A76" s="23">
        <v>45366.0</v>
      </c>
      <c r="B76" s="73">
        <v>38.0</v>
      </c>
      <c r="J76" s="112"/>
      <c r="T76" s="112"/>
      <c r="AC76" s="112"/>
    </row>
    <row r="77">
      <c r="A77" s="112"/>
      <c r="B77" s="124"/>
      <c r="J77" s="112"/>
      <c r="T77" s="112"/>
      <c r="AC77" s="112"/>
    </row>
    <row r="78">
      <c r="A78" s="112"/>
      <c r="B78" s="124"/>
      <c r="J78" s="112"/>
      <c r="T78" s="112"/>
      <c r="AC78" s="112"/>
    </row>
    <row r="79">
      <c r="A79" s="112"/>
      <c r="B79" s="124"/>
      <c r="J79" s="112"/>
      <c r="T79" s="112"/>
      <c r="AC79" s="112"/>
    </row>
    <row r="80">
      <c r="A80" s="112"/>
      <c r="B80" s="124"/>
      <c r="J80" s="112"/>
      <c r="T80" s="112"/>
      <c r="AC80" s="112"/>
    </row>
    <row r="81">
      <c r="A81" s="112"/>
      <c r="B81" s="124"/>
      <c r="J81" s="112"/>
      <c r="T81" s="112"/>
      <c r="AC81" s="112"/>
    </row>
    <row r="82">
      <c r="A82" s="112"/>
      <c r="B82" s="124"/>
      <c r="J82" s="112"/>
      <c r="T82" s="112"/>
      <c r="AC82" s="112"/>
    </row>
    <row r="83">
      <c r="A83" s="112"/>
      <c r="B83" s="124"/>
      <c r="J83" s="112"/>
      <c r="T83" s="112"/>
      <c r="AC83" s="112"/>
    </row>
    <row r="84">
      <c r="A84" s="112"/>
      <c r="B84" s="124"/>
      <c r="J84" s="112"/>
      <c r="T84" s="112"/>
      <c r="AC84" s="112"/>
    </row>
    <row r="85">
      <c r="A85" s="112"/>
      <c r="B85" s="124"/>
      <c r="J85" s="112"/>
      <c r="T85" s="112"/>
      <c r="AC85" s="112"/>
    </row>
    <row r="86">
      <c r="A86" s="112"/>
      <c r="B86" s="124"/>
      <c r="J86" s="112"/>
      <c r="T86" s="112"/>
      <c r="AC86" s="112"/>
    </row>
    <row r="87">
      <c r="A87" s="112"/>
      <c r="B87" s="124"/>
      <c r="J87" s="112"/>
      <c r="T87" s="112"/>
      <c r="AC87" s="112"/>
    </row>
    <row r="88">
      <c r="A88" s="112"/>
      <c r="B88" s="124"/>
      <c r="J88" s="112"/>
      <c r="T88" s="112"/>
      <c r="AC88" s="112"/>
    </row>
    <row r="89">
      <c r="A89" s="112"/>
      <c r="B89" s="124"/>
      <c r="J89" s="112"/>
      <c r="T89" s="112"/>
      <c r="AC89" s="112"/>
    </row>
    <row r="90">
      <c r="A90" s="112"/>
      <c r="B90" s="124"/>
      <c r="J90" s="112"/>
      <c r="T90" s="112"/>
      <c r="AC90" s="112"/>
    </row>
    <row r="91">
      <c r="A91" s="112"/>
      <c r="B91" s="124"/>
      <c r="J91" s="112"/>
      <c r="T91" s="112"/>
      <c r="AC91" s="112"/>
    </row>
    <row r="92">
      <c r="A92" s="112"/>
      <c r="B92" s="124"/>
      <c r="J92" s="112"/>
      <c r="T92" s="112"/>
      <c r="AC92" s="112"/>
    </row>
    <row r="93">
      <c r="A93" s="112"/>
      <c r="B93" s="124"/>
      <c r="J93" s="112"/>
      <c r="T93" s="112"/>
      <c r="AC93" s="112"/>
    </row>
    <row r="94">
      <c r="A94" s="112"/>
      <c r="B94" s="124"/>
      <c r="J94" s="112"/>
      <c r="T94" s="112"/>
      <c r="AC94" s="112"/>
    </row>
    <row r="95">
      <c r="A95" s="112"/>
      <c r="B95" s="124"/>
      <c r="J95" s="112"/>
      <c r="T95" s="112"/>
      <c r="AC95" s="112"/>
    </row>
    <row r="96">
      <c r="A96" s="112"/>
      <c r="B96" s="124"/>
      <c r="J96" s="112"/>
      <c r="T96" s="112"/>
      <c r="AC96" s="112"/>
    </row>
    <row r="97">
      <c r="A97" s="112"/>
      <c r="B97" s="124"/>
      <c r="J97" s="112"/>
      <c r="T97" s="112"/>
      <c r="AC97" s="112"/>
    </row>
    <row r="98">
      <c r="A98" s="112"/>
      <c r="B98" s="124"/>
      <c r="J98" s="112"/>
      <c r="T98" s="112"/>
      <c r="AC98" s="112"/>
    </row>
    <row r="99">
      <c r="A99" s="112"/>
      <c r="B99" s="124"/>
      <c r="J99" s="112"/>
      <c r="T99" s="112"/>
      <c r="AC99" s="112"/>
    </row>
    <row r="100">
      <c r="A100" s="112"/>
      <c r="B100" s="124"/>
      <c r="J100" s="112"/>
      <c r="T100" s="112"/>
      <c r="AC100" s="112"/>
    </row>
    <row r="101">
      <c r="A101" s="112"/>
      <c r="B101" s="124"/>
      <c r="J101" s="112"/>
      <c r="T101" s="112"/>
      <c r="AC101" s="112"/>
    </row>
    <row r="102">
      <c r="A102" s="112"/>
      <c r="B102" s="124"/>
      <c r="J102" s="112"/>
      <c r="T102" s="112"/>
      <c r="AC102" s="112"/>
    </row>
    <row r="103">
      <c r="A103" s="112"/>
      <c r="B103" s="124"/>
      <c r="J103" s="112"/>
      <c r="T103" s="112"/>
      <c r="AC103" s="112"/>
    </row>
    <row r="104">
      <c r="A104" s="112"/>
      <c r="B104" s="124"/>
      <c r="J104" s="112"/>
      <c r="T104" s="112"/>
      <c r="AC104" s="112"/>
    </row>
    <row r="105">
      <c r="A105" s="112"/>
      <c r="B105" s="124"/>
      <c r="J105" s="112"/>
      <c r="T105" s="112"/>
      <c r="AC105" s="112"/>
    </row>
    <row r="106">
      <c r="A106" s="112"/>
      <c r="B106" s="124"/>
      <c r="J106" s="112"/>
      <c r="T106" s="112"/>
      <c r="AC106" s="112"/>
    </row>
    <row r="107">
      <c r="A107" s="112"/>
      <c r="B107" s="124"/>
      <c r="J107" s="112"/>
      <c r="T107" s="112"/>
      <c r="AC107" s="112"/>
    </row>
    <row r="108">
      <c r="A108" s="112"/>
      <c r="B108" s="124"/>
      <c r="J108" s="112"/>
      <c r="T108" s="112"/>
      <c r="AC108" s="112"/>
    </row>
    <row r="109">
      <c r="A109" s="112"/>
      <c r="B109" s="124"/>
      <c r="J109" s="112"/>
      <c r="T109" s="112"/>
      <c r="AC109" s="112"/>
    </row>
    <row r="110">
      <c r="A110" s="112"/>
      <c r="B110" s="124"/>
      <c r="J110" s="112"/>
      <c r="T110" s="112"/>
      <c r="AC110" s="112"/>
    </row>
    <row r="111">
      <c r="A111" s="112"/>
      <c r="B111" s="124"/>
      <c r="J111" s="112"/>
      <c r="T111" s="112"/>
      <c r="AC111" s="112"/>
    </row>
    <row r="112">
      <c r="A112" s="112"/>
      <c r="B112" s="124"/>
      <c r="J112" s="112"/>
      <c r="T112" s="112"/>
      <c r="AC112" s="112"/>
    </row>
    <row r="113">
      <c r="A113" s="112"/>
      <c r="B113" s="124"/>
      <c r="J113" s="112"/>
      <c r="T113" s="112"/>
      <c r="AC113" s="112"/>
    </row>
    <row r="114">
      <c r="A114" s="112"/>
      <c r="B114" s="124"/>
      <c r="J114" s="112"/>
      <c r="T114" s="112"/>
      <c r="AC114" s="112"/>
    </row>
    <row r="115">
      <c r="A115" s="112"/>
      <c r="B115" s="124"/>
      <c r="J115" s="112"/>
      <c r="T115" s="112"/>
      <c r="AC115" s="112"/>
    </row>
    <row r="116">
      <c r="A116" s="112"/>
      <c r="B116" s="124"/>
      <c r="J116" s="112"/>
      <c r="T116" s="112"/>
      <c r="AC116" s="112"/>
    </row>
    <row r="117">
      <c r="A117" s="112"/>
      <c r="B117" s="124"/>
      <c r="J117" s="112"/>
      <c r="T117" s="112"/>
      <c r="AC117" s="112"/>
    </row>
    <row r="118">
      <c r="A118" s="112"/>
      <c r="B118" s="124"/>
      <c r="J118" s="112"/>
      <c r="T118" s="112"/>
      <c r="AC118" s="112"/>
    </row>
    <row r="119">
      <c r="A119" s="112"/>
      <c r="B119" s="124"/>
      <c r="J119" s="112"/>
      <c r="T119" s="112"/>
      <c r="AC119" s="112"/>
    </row>
    <row r="120">
      <c r="A120" s="112"/>
      <c r="B120" s="124"/>
      <c r="J120" s="112"/>
      <c r="T120" s="112"/>
      <c r="AC120" s="112"/>
    </row>
    <row r="121">
      <c r="A121" s="112"/>
      <c r="B121" s="124"/>
      <c r="J121" s="112"/>
      <c r="T121" s="112"/>
      <c r="AC121" s="112"/>
    </row>
    <row r="122">
      <c r="A122" s="112"/>
      <c r="B122" s="124"/>
      <c r="J122" s="112"/>
      <c r="T122" s="112"/>
      <c r="AC122" s="112"/>
    </row>
    <row r="123">
      <c r="A123" s="112"/>
      <c r="B123" s="124"/>
      <c r="J123" s="112"/>
      <c r="T123" s="112"/>
      <c r="AC123" s="112"/>
    </row>
    <row r="124">
      <c r="A124" s="112"/>
      <c r="B124" s="124"/>
      <c r="J124" s="112"/>
      <c r="T124" s="112"/>
      <c r="AC124" s="112"/>
    </row>
    <row r="125">
      <c r="A125" s="112"/>
      <c r="B125" s="124"/>
      <c r="J125" s="112"/>
      <c r="T125" s="112"/>
      <c r="AC125" s="112"/>
    </row>
    <row r="126">
      <c r="A126" s="112"/>
      <c r="B126" s="124"/>
      <c r="J126" s="112"/>
      <c r="T126" s="112"/>
      <c r="AC126" s="112"/>
    </row>
    <row r="127">
      <c r="A127" s="112"/>
      <c r="B127" s="124"/>
      <c r="J127" s="112"/>
      <c r="T127" s="112"/>
      <c r="AC127" s="112"/>
    </row>
    <row r="128">
      <c r="A128" s="112"/>
      <c r="B128" s="124"/>
      <c r="J128" s="112"/>
      <c r="T128" s="112"/>
      <c r="AC128" s="112"/>
    </row>
    <row r="129">
      <c r="A129" s="112"/>
      <c r="B129" s="124"/>
      <c r="J129" s="112"/>
      <c r="T129" s="112"/>
      <c r="AC129" s="112"/>
    </row>
    <row r="130">
      <c r="A130" s="112"/>
      <c r="B130" s="124"/>
      <c r="J130" s="112"/>
      <c r="T130" s="112"/>
      <c r="AC130" s="112"/>
    </row>
    <row r="131">
      <c r="A131" s="112"/>
      <c r="B131" s="124"/>
      <c r="J131" s="112"/>
      <c r="T131" s="112"/>
      <c r="AC131" s="112"/>
    </row>
    <row r="132">
      <c r="A132" s="112"/>
      <c r="B132" s="124"/>
      <c r="J132" s="112"/>
      <c r="T132" s="112"/>
      <c r="AC132" s="112"/>
    </row>
    <row r="133">
      <c r="A133" s="112"/>
      <c r="B133" s="124"/>
      <c r="J133" s="112"/>
      <c r="T133" s="112"/>
      <c r="AC133" s="112"/>
    </row>
    <row r="134">
      <c r="A134" s="112"/>
      <c r="B134" s="124"/>
      <c r="J134" s="112"/>
      <c r="T134" s="112"/>
      <c r="AC134" s="112"/>
    </row>
    <row r="135">
      <c r="A135" s="112"/>
      <c r="B135" s="124"/>
      <c r="J135" s="112"/>
      <c r="T135" s="112"/>
      <c r="AC135" s="112"/>
    </row>
    <row r="136">
      <c r="A136" s="112"/>
      <c r="B136" s="124"/>
      <c r="J136" s="112"/>
      <c r="T136" s="112"/>
      <c r="AC136" s="112"/>
    </row>
    <row r="137">
      <c r="A137" s="112"/>
      <c r="B137" s="124"/>
      <c r="J137" s="112"/>
      <c r="T137" s="112"/>
      <c r="AC137" s="112"/>
    </row>
    <row r="138">
      <c r="A138" s="112"/>
      <c r="B138" s="124"/>
      <c r="J138" s="112"/>
      <c r="T138" s="112"/>
      <c r="AC138" s="112"/>
    </row>
    <row r="139">
      <c r="A139" s="112"/>
      <c r="B139" s="124"/>
      <c r="J139" s="112"/>
      <c r="T139" s="112"/>
      <c r="AC139" s="112"/>
    </row>
    <row r="140">
      <c r="A140" s="112"/>
      <c r="B140" s="124"/>
      <c r="J140" s="112"/>
      <c r="T140" s="112"/>
      <c r="AC140" s="112"/>
    </row>
    <row r="141">
      <c r="A141" s="112"/>
      <c r="B141" s="124"/>
      <c r="J141" s="112"/>
      <c r="T141" s="112"/>
      <c r="AC141" s="112"/>
    </row>
    <row r="142">
      <c r="A142" s="112"/>
      <c r="B142" s="124"/>
      <c r="J142" s="112"/>
      <c r="T142" s="112"/>
      <c r="AC142" s="112"/>
    </row>
    <row r="143">
      <c r="A143" s="112"/>
      <c r="B143" s="124"/>
      <c r="J143" s="112"/>
      <c r="T143" s="112"/>
      <c r="AC143" s="112"/>
    </row>
    <row r="144">
      <c r="A144" s="112"/>
      <c r="B144" s="124"/>
      <c r="J144" s="112"/>
      <c r="T144" s="112"/>
      <c r="AC144" s="112"/>
    </row>
    <row r="145">
      <c r="A145" s="112"/>
      <c r="B145" s="124"/>
      <c r="J145" s="112"/>
      <c r="T145" s="112"/>
      <c r="AC145" s="112"/>
    </row>
    <row r="146">
      <c r="A146" s="112"/>
      <c r="B146" s="124"/>
      <c r="J146" s="112"/>
      <c r="T146" s="112"/>
      <c r="AC146" s="112"/>
    </row>
    <row r="147">
      <c r="A147" s="112"/>
      <c r="B147" s="124"/>
      <c r="J147" s="112"/>
      <c r="T147" s="112"/>
      <c r="AC147" s="112"/>
    </row>
    <row r="148">
      <c r="A148" s="112"/>
      <c r="B148" s="124"/>
      <c r="J148" s="112"/>
      <c r="T148" s="112"/>
      <c r="AC148" s="112"/>
    </row>
    <row r="149">
      <c r="A149" s="112"/>
      <c r="B149" s="124"/>
      <c r="J149" s="112"/>
      <c r="T149" s="112"/>
      <c r="AC149" s="112"/>
    </row>
    <row r="150">
      <c r="A150" s="112"/>
      <c r="B150" s="124"/>
      <c r="J150" s="112"/>
      <c r="T150" s="112"/>
      <c r="AC150" s="112"/>
    </row>
    <row r="151">
      <c r="A151" s="112"/>
      <c r="B151" s="124"/>
      <c r="J151" s="112"/>
      <c r="T151" s="112"/>
      <c r="AC151" s="112"/>
    </row>
    <row r="152">
      <c r="A152" s="112"/>
      <c r="B152" s="124"/>
      <c r="J152" s="112"/>
      <c r="T152" s="112"/>
      <c r="AC152" s="112"/>
    </row>
    <row r="153">
      <c r="A153" s="112"/>
      <c r="B153" s="124"/>
      <c r="J153" s="112"/>
      <c r="T153" s="112"/>
      <c r="AC153" s="112"/>
    </row>
    <row r="154">
      <c r="A154" s="112"/>
      <c r="B154" s="124"/>
      <c r="J154" s="112"/>
      <c r="T154" s="112"/>
      <c r="AC154" s="112"/>
    </row>
    <row r="155">
      <c r="A155" s="112"/>
      <c r="B155" s="124"/>
      <c r="J155" s="112"/>
      <c r="T155" s="112"/>
      <c r="AC155" s="112"/>
    </row>
    <row r="156">
      <c r="A156" s="112"/>
      <c r="B156" s="124"/>
      <c r="J156" s="112"/>
      <c r="T156" s="112"/>
      <c r="AC156" s="112"/>
    </row>
    <row r="157">
      <c r="A157" s="112"/>
      <c r="B157" s="124"/>
      <c r="J157" s="112"/>
      <c r="T157" s="112"/>
      <c r="AC157" s="112"/>
    </row>
    <row r="158">
      <c r="A158" s="112"/>
      <c r="B158" s="124"/>
      <c r="J158" s="112"/>
      <c r="T158" s="112"/>
      <c r="AC158" s="112"/>
    </row>
    <row r="159">
      <c r="A159" s="112"/>
      <c r="B159" s="124"/>
      <c r="J159" s="112"/>
      <c r="T159" s="112"/>
      <c r="AC159" s="112"/>
    </row>
    <row r="160">
      <c r="A160" s="112"/>
      <c r="B160" s="124"/>
      <c r="J160" s="112"/>
      <c r="T160" s="112"/>
      <c r="AC160" s="112"/>
    </row>
    <row r="161">
      <c r="A161" s="112"/>
      <c r="B161" s="124"/>
      <c r="J161" s="112"/>
      <c r="T161" s="112"/>
      <c r="AC161" s="112"/>
    </row>
    <row r="162">
      <c r="A162" s="112"/>
      <c r="B162" s="124"/>
      <c r="J162" s="112"/>
      <c r="T162" s="112"/>
      <c r="AC162" s="112"/>
    </row>
    <row r="163">
      <c r="A163" s="112"/>
      <c r="B163" s="124"/>
      <c r="J163" s="112"/>
      <c r="T163" s="112"/>
      <c r="AC163" s="112"/>
    </row>
    <row r="164">
      <c r="A164" s="112"/>
      <c r="B164" s="124"/>
      <c r="J164" s="112"/>
      <c r="T164" s="112"/>
      <c r="AC164" s="112"/>
    </row>
    <row r="165">
      <c r="A165" s="112"/>
      <c r="B165" s="124"/>
      <c r="J165" s="112"/>
      <c r="T165" s="112"/>
      <c r="AC165" s="112"/>
    </row>
    <row r="166">
      <c r="A166" s="112"/>
      <c r="B166" s="124"/>
      <c r="J166" s="112"/>
      <c r="T166" s="112"/>
      <c r="AC166" s="112"/>
    </row>
    <row r="167">
      <c r="A167" s="112"/>
      <c r="B167" s="124"/>
      <c r="J167" s="112"/>
      <c r="T167" s="112"/>
      <c r="AC167" s="112"/>
    </row>
    <row r="168">
      <c r="A168" s="112"/>
      <c r="B168" s="124"/>
      <c r="J168" s="112"/>
      <c r="T168" s="112"/>
      <c r="AC168" s="112"/>
    </row>
    <row r="169">
      <c r="A169" s="112"/>
      <c r="B169" s="124"/>
      <c r="J169" s="112"/>
      <c r="T169" s="112"/>
      <c r="AC169" s="112"/>
    </row>
    <row r="170">
      <c r="A170" s="112"/>
      <c r="B170" s="124"/>
      <c r="J170" s="112"/>
      <c r="T170" s="112"/>
      <c r="AC170" s="112"/>
    </row>
    <row r="171">
      <c r="A171" s="112"/>
      <c r="B171" s="124"/>
      <c r="J171" s="112"/>
      <c r="T171" s="112"/>
      <c r="AC171" s="112"/>
    </row>
    <row r="172">
      <c r="A172" s="112"/>
      <c r="B172" s="124"/>
      <c r="J172" s="112"/>
      <c r="T172" s="112"/>
      <c r="AC172" s="112"/>
    </row>
    <row r="173">
      <c r="A173" s="112"/>
      <c r="B173" s="124"/>
      <c r="J173" s="112"/>
      <c r="T173" s="112"/>
      <c r="AC173" s="112"/>
    </row>
    <row r="174">
      <c r="A174" s="112"/>
      <c r="B174" s="124"/>
      <c r="J174" s="112"/>
      <c r="T174" s="112"/>
      <c r="AC174" s="112"/>
    </row>
    <row r="175">
      <c r="A175" s="112"/>
      <c r="B175" s="124"/>
      <c r="J175" s="112"/>
      <c r="T175" s="112"/>
      <c r="AC175" s="112"/>
    </row>
    <row r="176">
      <c r="A176" s="112"/>
      <c r="B176" s="124"/>
      <c r="J176" s="112"/>
      <c r="T176" s="112"/>
      <c r="AC176" s="112"/>
    </row>
    <row r="177">
      <c r="A177" s="112"/>
      <c r="B177" s="124"/>
      <c r="J177" s="112"/>
      <c r="T177" s="112"/>
      <c r="AC177" s="112"/>
    </row>
    <row r="178">
      <c r="A178" s="112"/>
      <c r="B178" s="124"/>
      <c r="J178" s="112"/>
      <c r="T178" s="112"/>
      <c r="AC178" s="112"/>
    </row>
    <row r="179">
      <c r="A179" s="112"/>
      <c r="B179" s="124"/>
      <c r="J179" s="112"/>
      <c r="T179" s="112"/>
      <c r="AC179" s="112"/>
    </row>
    <row r="180">
      <c r="A180" s="112"/>
      <c r="B180" s="124"/>
      <c r="J180" s="112"/>
      <c r="T180" s="112"/>
      <c r="AC180" s="112"/>
    </row>
    <row r="181">
      <c r="A181" s="112"/>
      <c r="B181" s="124"/>
      <c r="J181" s="112"/>
      <c r="T181" s="112"/>
      <c r="AC181" s="112"/>
    </row>
    <row r="182">
      <c r="A182" s="112"/>
      <c r="B182" s="124"/>
      <c r="J182" s="112"/>
      <c r="T182" s="112"/>
      <c r="AC182" s="112"/>
    </row>
    <row r="183">
      <c r="A183" s="112"/>
      <c r="B183" s="124"/>
      <c r="J183" s="112"/>
      <c r="T183" s="112"/>
      <c r="AC183" s="112"/>
    </row>
    <row r="184">
      <c r="A184" s="112"/>
      <c r="B184" s="124"/>
      <c r="J184" s="112"/>
      <c r="T184" s="112"/>
      <c r="AC184" s="112"/>
    </row>
    <row r="185">
      <c r="A185" s="112"/>
      <c r="B185" s="124"/>
      <c r="J185" s="112"/>
      <c r="T185" s="112"/>
      <c r="AC185" s="112"/>
    </row>
    <row r="186">
      <c r="A186" s="112"/>
      <c r="B186" s="124"/>
      <c r="J186" s="112"/>
      <c r="T186" s="112"/>
      <c r="AC186" s="112"/>
    </row>
    <row r="187">
      <c r="A187" s="112"/>
      <c r="B187" s="124"/>
      <c r="J187" s="112"/>
      <c r="T187" s="112"/>
      <c r="AC187" s="112"/>
    </row>
    <row r="188">
      <c r="A188" s="112"/>
      <c r="B188" s="124"/>
      <c r="J188" s="112"/>
      <c r="T188" s="112"/>
      <c r="AC188" s="112"/>
    </row>
    <row r="189">
      <c r="A189" s="112"/>
      <c r="B189" s="124"/>
      <c r="J189" s="112"/>
      <c r="T189" s="112"/>
      <c r="AC189" s="112"/>
    </row>
    <row r="190">
      <c r="A190" s="112"/>
      <c r="B190" s="124"/>
      <c r="J190" s="112"/>
      <c r="T190" s="112"/>
      <c r="AC190" s="112"/>
    </row>
    <row r="191">
      <c r="A191" s="112"/>
      <c r="B191" s="124"/>
      <c r="J191" s="112"/>
      <c r="T191" s="112"/>
      <c r="AC191" s="112"/>
    </row>
    <row r="192">
      <c r="A192" s="112"/>
      <c r="B192" s="124"/>
      <c r="J192" s="112"/>
      <c r="T192" s="112"/>
      <c r="AC192" s="112"/>
    </row>
    <row r="193">
      <c r="A193" s="112"/>
      <c r="B193" s="124"/>
      <c r="J193" s="112"/>
      <c r="T193" s="112"/>
      <c r="AC193" s="112"/>
    </row>
    <row r="194">
      <c r="A194" s="112"/>
      <c r="B194" s="124"/>
      <c r="J194" s="112"/>
      <c r="T194" s="112"/>
      <c r="AC194" s="112"/>
    </row>
    <row r="195">
      <c r="A195" s="112"/>
      <c r="B195" s="124"/>
      <c r="J195" s="112"/>
      <c r="T195" s="112"/>
      <c r="AC195" s="112"/>
    </row>
    <row r="196">
      <c r="A196" s="112"/>
      <c r="B196" s="124"/>
      <c r="J196" s="112"/>
      <c r="T196" s="112"/>
      <c r="AC196" s="112"/>
    </row>
    <row r="197">
      <c r="A197" s="112"/>
      <c r="B197" s="124"/>
      <c r="J197" s="112"/>
      <c r="T197" s="112"/>
      <c r="AC197" s="112"/>
    </row>
    <row r="198">
      <c r="A198" s="112"/>
      <c r="B198" s="124"/>
      <c r="J198" s="112"/>
      <c r="T198" s="112"/>
      <c r="AC198" s="112"/>
    </row>
    <row r="199">
      <c r="A199" s="112"/>
      <c r="B199" s="124"/>
      <c r="J199" s="112"/>
      <c r="T199" s="112"/>
      <c r="AC199" s="112"/>
    </row>
    <row r="200">
      <c r="A200" s="112"/>
      <c r="B200" s="124"/>
      <c r="J200" s="112"/>
      <c r="T200" s="112"/>
      <c r="AC200" s="112"/>
    </row>
    <row r="201">
      <c r="A201" s="112"/>
      <c r="B201" s="124"/>
      <c r="J201" s="112"/>
      <c r="T201" s="112"/>
      <c r="AC201" s="112"/>
    </row>
    <row r="202">
      <c r="A202" s="112"/>
      <c r="B202" s="124"/>
      <c r="J202" s="112"/>
      <c r="T202" s="112"/>
      <c r="AC202" s="112"/>
    </row>
    <row r="203">
      <c r="A203" s="112"/>
      <c r="B203" s="124"/>
      <c r="J203" s="112"/>
      <c r="T203" s="112"/>
      <c r="AC203" s="112"/>
    </row>
    <row r="204">
      <c r="A204" s="112"/>
      <c r="B204" s="124"/>
      <c r="J204" s="112"/>
      <c r="T204" s="112"/>
      <c r="AC204" s="112"/>
    </row>
    <row r="205">
      <c r="A205" s="112"/>
      <c r="B205" s="124"/>
      <c r="J205" s="112"/>
      <c r="T205" s="112"/>
      <c r="AC205" s="112"/>
    </row>
    <row r="206">
      <c r="A206" s="112"/>
      <c r="B206" s="124"/>
      <c r="J206" s="112"/>
      <c r="T206" s="112"/>
      <c r="AC206" s="112"/>
    </row>
    <row r="207">
      <c r="A207" s="112"/>
      <c r="B207" s="124"/>
      <c r="J207" s="112"/>
      <c r="T207" s="112"/>
      <c r="AC207" s="112"/>
    </row>
    <row r="208">
      <c r="A208" s="112"/>
      <c r="B208" s="124"/>
      <c r="J208" s="112"/>
      <c r="T208" s="112"/>
      <c r="AC208" s="112"/>
    </row>
    <row r="209">
      <c r="A209" s="112"/>
      <c r="B209" s="124"/>
      <c r="J209" s="112"/>
      <c r="T209" s="112"/>
      <c r="AC209" s="112"/>
    </row>
    <row r="210">
      <c r="A210" s="112"/>
      <c r="B210" s="124"/>
      <c r="J210" s="112"/>
      <c r="T210" s="112"/>
      <c r="AC210" s="112"/>
    </row>
    <row r="211">
      <c r="A211" s="112"/>
      <c r="B211" s="124"/>
      <c r="J211" s="112"/>
      <c r="T211" s="112"/>
      <c r="AC211" s="112"/>
    </row>
    <row r="212">
      <c r="A212" s="112"/>
      <c r="B212" s="124"/>
      <c r="J212" s="112"/>
      <c r="T212" s="112"/>
      <c r="AC212" s="112"/>
    </row>
    <row r="213">
      <c r="A213" s="112"/>
      <c r="B213" s="124"/>
      <c r="J213" s="112"/>
      <c r="T213" s="112"/>
      <c r="AC213" s="112"/>
    </row>
    <row r="214">
      <c r="A214" s="112"/>
      <c r="B214" s="124"/>
      <c r="J214" s="112"/>
      <c r="T214" s="112"/>
      <c r="AC214" s="112"/>
    </row>
    <row r="215">
      <c r="A215" s="112"/>
      <c r="B215" s="124"/>
      <c r="J215" s="112"/>
      <c r="T215" s="112"/>
      <c r="AC215" s="112"/>
    </row>
    <row r="216">
      <c r="A216" s="112"/>
      <c r="B216" s="124"/>
      <c r="J216" s="112"/>
      <c r="T216" s="112"/>
      <c r="AC216" s="112"/>
    </row>
    <row r="217">
      <c r="A217" s="112"/>
      <c r="B217" s="124"/>
      <c r="J217" s="112"/>
      <c r="T217" s="112"/>
      <c r="AC217" s="112"/>
    </row>
    <row r="218">
      <c r="A218" s="112"/>
      <c r="B218" s="124"/>
      <c r="J218" s="112"/>
      <c r="T218" s="112"/>
      <c r="AC218" s="112"/>
    </row>
    <row r="219">
      <c r="A219" s="112"/>
      <c r="B219" s="124"/>
      <c r="J219" s="112"/>
      <c r="T219" s="112"/>
      <c r="AC219" s="112"/>
    </row>
    <row r="220">
      <c r="A220" s="112"/>
      <c r="B220" s="124"/>
      <c r="J220" s="112"/>
      <c r="T220" s="112"/>
      <c r="AC220" s="112"/>
    </row>
    <row r="221">
      <c r="A221" s="112"/>
      <c r="B221" s="124"/>
      <c r="J221" s="112"/>
      <c r="T221" s="112"/>
      <c r="AC221" s="112"/>
    </row>
    <row r="222">
      <c r="A222" s="112"/>
      <c r="B222" s="124"/>
      <c r="J222" s="112"/>
      <c r="T222" s="112"/>
      <c r="AC222" s="112"/>
    </row>
    <row r="223">
      <c r="A223" s="112"/>
      <c r="B223" s="124"/>
      <c r="J223" s="112"/>
      <c r="T223" s="112"/>
      <c r="AC223" s="112"/>
    </row>
    <row r="224">
      <c r="A224" s="112"/>
      <c r="B224" s="124"/>
      <c r="J224" s="112"/>
      <c r="T224" s="112"/>
      <c r="AC224" s="112"/>
    </row>
    <row r="225">
      <c r="A225" s="112"/>
      <c r="B225" s="124"/>
      <c r="J225" s="112"/>
      <c r="T225" s="112"/>
      <c r="AC225" s="112"/>
    </row>
    <row r="226">
      <c r="A226" s="112"/>
      <c r="B226" s="124"/>
      <c r="J226" s="112"/>
      <c r="T226" s="112"/>
      <c r="AC226" s="112"/>
    </row>
    <row r="227">
      <c r="A227" s="112"/>
      <c r="B227" s="124"/>
      <c r="J227" s="112"/>
      <c r="T227" s="112"/>
      <c r="AC227" s="112"/>
    </row>
    <row r="228">
      <c r="A228" s="112"/>
      <c r="B228" s="124"/>
      <c r="J228" s="112"/>
      <c r="T228" s="112"/>
      <c r="AC228" s="112"/>
    </row>
    <row r="229">
      <c r="A229" s="112"/>
      <c r="B229" s="124"/>
      <c r="J229" s="112"/>
      <c r="T229" s="112"/>
      <c r="AC229" s="112"/>
    </row>
    <row r="230">
      <c r="A230" s="112"/>
      <c r="B230" s="124"/>
      <c r="J230" s="112"/>
      <c r="T230" s="112"/>
      <c r="AC230" s="112"/>
    </row>
    <row r="231">
      <c r="A231" s="112"/>
      <c r="B231" s="124"/>
      <c r="J231" s="112"/>
      <c r="T231" s="112"/>
      <c r="AC231" s="112"/>
    </row>
    <row r="232">
      <c r="A232" s="112"/>
      <c r="B232" s="124"/>
      <c r="J232" s="112"/>
      <c r="T232" s="112"/>
      <c r="AC232" s="112"/>
    </row>
    <row r="233">
      <c r="A233" s="112"/>
      <c r="B233" s="124"/>
      <c r="J233" s="112"/>
      <c r="T233" s="112"/>
      <c r="AC233" s="112"/>
    </row>
    <row r="234">
      <c r="A234" s="112"/>
      <c r="B234" s="124"/>
      <c r="J234" s="112"/>
      <c r="T234" s="112"/>
      <c r="AC234" s="112"/>
    </row>
    <row r="235">
      <c r="A235" s="112"/>
      <c r="B235" s="124"/>
      <c r="J235" s="112"/>
      <c r="T235" s="112"/>
      <c r="AC235" s="112"/>
    </row>
    <row r="236">
      <c r="A236" s="112"/>
      <c r="B236" s="124"/>
      <c r="J236" s="112"/>
      <c r="T236" s="112"/>
      <c r="AC236" s="112"/>
    </row>
    <row r="237">
      <c r="A237" s="112"/>
      <c r="B237" s="124"/>
      <c r="J237" s="112"/>
      <c r="T237" s="112"/>
      <c r="AC237" s="112"/>
    </row>
    <row r="238">
      <c r="A238" s="112"/>
      <c r="B238" s="124"/>
      <c r="J238" s="112"/>
      <c r="T238" s="112"/>
      <c r="AC238" s="112"/>
    </row>
    <row r="239">
      <c r="A239" s="112"/>
      <c r="B239" s="124"/>
      <c r="J239" s="112"/>
      <c r="T239" s="112"/>
      <c r="AC239" s="112"/>
    </row>
    <row r="240">
      <c r="A240" s="112"/>
      <c r="B240" s="124"/>
      <c r="J240" s="112"/>
      <c r="T240" s="112"/>
      <c r="AC240" s="112"/>
    </row>
    <row r="241">
      <c r="A241" s="112"/>
      <c r="B241" s="124"/>
      <c r="J241" s="112"/>
      <c r="T241" s="112"/>
      <c r="AC241" s="112"/>
    </row>
    <row r="242">
      <c r="A242" s="112"/>
      <c r="B242" s="124"/>
      <c r="J242" s="112"/>
      <c r="T242" s="112"/>
      <c r="AC242" s="112"/>
    </row>
    <row r="243">
      <c r="A243" s="112"/>
      <c r="B243" s="124"/>
      <c r="J243" s="112"/>
      <c r="T243" s="112"/>
      <c r="AC243" s="112"/>
    </row>
    <row r="244">
      <c r="A244" s="112"/>
      <c r="B244" s="124"/>
      <c r="J244" s="112"/>
      <c r="T244" s="112"/>
      <c r="AC244" s="112"/>
    </row>
    <row r="245">
      <c r="A245" s="112"/>
      <c r="B245" s="124"/>
      <c r="J245" s="112"/>
      <c r="T245" s="112"/>
      <c r="AC245" s="112"/>
    </row>
    <row r="246">
      <c r="A246" s="112"/>
      <c r="B246" s="124"/>
      <c r="J246" s="112"/>
      <c r="T246" s="112"/>
      <c r="AC246" s="112"/>
    </row>
    <row r="247">
      <c r="A247" s="112"/>
      <c r="B247" s="124"/>
      <c r="J247" s="112"/>
      <c r="T247" s="112"/>
      <c r="AC247" s="112"/>
    </row>
    <row r="248">
      <c r="A248" s="112"/>
      <c r="B248" s="124"/>
      <c r="J248" s="112"/>
      <c r="T248" s="112"/>
      <c r="AC248" s="112"/>
    </row>
    <row r="249">
      <c r="A249" s="112"/>
      <c r="B249" s="124"/>
      <c r="J249" s="112"/>
      <c r="T249" s="112"/>
      <c r="AC249" s="112"/>
    </row>
    <row r="250">
      <c r="A250" s="112"/>
      <c r="B250" s="124"/>
      <c r="J250" s="112"/>
      <c r="T250" s="112"/>
      <c r="AC250" s="112"/>
    </row>
    <row r="251">
      <c r="A251" s="112"/>
      <c r="B251" s="124"/>
      <c r="J251" s="112"/>
      <c r="T251" s="112"/>
      <c r="AC251" s="112"/>
    </row>
    <row r="252">
      <c r="A252" s="112"/>
      <c r="B252" s="124"/>
      <c r="J252" s="112"/>
      <c r="T252" s="112"/>
      <c r="AC252" s="112"/>
    </row>
    <row r="253">
      <c r="A253" s="112"/>
      <c r="B253" s="124"/>
      <c r="J253" s="112"/>
      <c r="T253" s="112"/>
      <c r="AC253" s="112"/>
    </row>
    <row r="254">
      <c r="A254" s="112"/>
      <c r="B254" s="124"/>
      <c r="J254" s="112"/>
      <c r="T254" s="112"/>
      <c r="AC254" s="112"/>
    </row>
    <row r="255">
      <c r="A255" s="112"/>
      <c r="B255" s="124"/>
      <c r="J255" s="112"/>
      <c r="T255" s="112"/>
      <c r="AC255" s="112"/>
    </row>
    <row r="256">
      <c r="A256" s="112"/>
      <c r="B256" s="124"/>
      <c r="J256" s="112"/>
      <c r="T256" s="112"/>
      <c r="AC256" s="112"/>
    </row>
    <row r="257">
      <c r="A257" s="112"/>
      <c r="B257" s="124"/>
      <c r="J257" s="112"/>
      <c r="T257" s="112"/>
      <c r="AC257" s="112"/>
    </row>
    <row r="258">
      <c r="A258" s="112"/>
      <c r="B258" s="124"/>
      <c r="J258" s="112"/>
      <c r="T258" s="112"/>
      <c r="AC258" s="112"/>
    </row>
    <row r="259">
      <c r="A259" s="112"/>
      <c r="B259" s="124"/>
      <c r="J259" s="112"/>
      <c r="T259" s="112"/>
      <c r="AC259" s="112"/>
    </row>
    <row r="260">
      <c r="A260" s="112"/>
      <c r="B260" s="124"/>
      <c r="J260" s="112"/>
      <c r="T260" s="112"/>
      <c r="AC260" s="112"/>
    </row>
    <row r="261">
      <c r="A261" s="112"/>
      <c r="B261" s="124"/>
      <c r="J261" s="112"/>
      <c r="T261" s="112"/>
      <c r="AC261" s="112"/>
    </row>
    <row r="262">
      <c r="A262" s="112"/>
      <c r="B262" s="124"/>
      <c r="J262" s="112"/>
      <c r="T262" s="112"/>
      <c r="AC262" s="112"/>
    </row>
    <row r="263">
      <c r="A263" s="112"/>
      <c r="B263" s="124"/>
      <c r="J263" s="112"/>
      <c r="T263" s="112"/>
      <c r="AC263" s="112"/>
    </row>
    <row r="264">
      <c r="A264" s="112"/>
      <c r="B264" s="124"/>
      <c r="J264" s="112"/>
      <c r="T264" s="112"/>
      <c r="AC264" s="112"/>
    </row>
    <row r="265">
      <c r="A265" s="112"/>
      <c r="B265" s="124"/>
      <c r="J265" s="112"/>
      <c r="T265" s="112"/>
      <c r="AC265" s="112"/>
    </row>
    <row r="266">
      <c r="A266" s="112"/>
      <c r="B266" s="124"/>
      <c r="J266" s="112"/>
      <c r="T266" s="112"/>
      <c r="AC266" s="112"/>
    </row>
    <row r="267">
      <c r="A267" s="112"/>
      <c r="B267" s="124"/>
      <c r="J267" s="112"/>
      <c r="T267" s="112"/>
      <c r="AC267" s="112"/>
    </row>
    <row r="268">
      <c r="A268" s="112"/>
      <c r="B268" s="124"/>
      <c r="J268" s="112"/>
      <c r="T268" s="112"/>
      <c r="AC268" s="112"/>
    </row>
    <row r="269">
      <c r="A269" s="112"/>
      <c r="B269" s="124"/>
      <c r="J269" s="112"/>
      <c r="T269" s="112"/>
      <c r="AC269" s="112"/>
    </row>
    <row r="270">
      <c r="A270" s="112"/>
      <c r="B270" s="124"/>
      <c r="J270" s="112"/>
      <c r="T270" s="112"/>
      <c r="AC270" s="112"/>
    </row>
    <row r="271">
      <c r="A271" s="112"/>
      <c r="B271" s="124"/>
      <c r="J271" s="112"/>
      <c r="T271" s="112"/>
      <c r="AC271" s="112"/>
    </row>
    <row r="272">
      <c r="A272" s="112"/>
      <c r="B272" s="124"/>
      <c r="J272" s="112"/>
      <c r="T272" s="112"/>
      <c r="AC272" s="112"/>
    </row>
    <row r="273">
      <c r="A273" s="112"/>
      <c r="B273" s="124"/>
      <c r="J273" s="112"/>
      <c r="T273" s="112"/>
      <c r="AC273" s="112"/>
    </row>
    <row r="274">
      <c r="A274" s="112"/>
      <c r="B274" s="124"/>
      <c r="J274" s="112"/>
      <c r="T274" s="112"/>
      <c r="AC274" s="112"/>
    </row>
    <row r="275">
      <c r="A275" s="112"/>
      <c r="B275" s="124"/>
      <c r="J275" s="112"/>
      <c r="T275" s="112"/>
      <c r="AC275" s="112"/>
    </row>
    <row r="276">
      <c r="A276" s="112"/>
      <c r="B276" s="124"/>
      <c r="J276" s="112"/>
      <c r="T276" s="112"/>
      <c r="AC276" s="112"/>
    </row>
    <row r="277">
      <c r="A277" s="112"/>
      <c r="B277" s="124"/>
      <c r="J277" s="112"/>
      <c r="T277" s="112"/>
      <c r="AC277" s="112"/>
    </row>
    <row r="278">
      <c r="A278" s="112"/>
      <c r="B278" s="124"/>
      <c r="J278" s="112"/>
      <c r="T278" s="112"/>
      <c r="AC278" s="112"/>
    </row>
    <row r="279">
      <c r="A279" s="112"/>
      <c r="B279" s="124"/>
      <c r="J279" s="112"/>
      <c r="T279" s="112"/>
      <c r="AC279" s="112"/>
    </row>
    <row r="280">
      <c r="A280" s="112"/>
      <c r="B280" s="124"/>
      <c r="J280" s="112"/>
      <c r="T280" s="112"/>
      <c r="AC280" s="112"/>
    </row>
    <row r="281">
      <c r="A281" s="112"/>
      <c r="B281" s="124"/>
      <c r="J281" s="112"/>
      <c r="T281" s="112"/>
      <c r="AC281" s="112"/>
    </row>
    <row r="282">
      <c r="A282" s="112"/>
      <c r="B282" s="124"/>
      <c r="J282" s="112"/>
      <c r="T282" s="112"/>
      <c r="AC282" s="112"/>
    </row>
    <row r="283">
      <c r="A283" s="112"/>
      <c r="B283" s="124"/>
      <c r="J283" s="112"/>
      <c r="T283" s="112"/>
      <c r="AC283" s="112"/>
    </row>
    <row r="284">
      <c r="A284" s="112"/>
      <c r="B284" s="124"/>
      <c r="J284" s="112"/>
      <c r="T284" s="112"/>
      <c r="AC284" s="112"/>
    </row>
    <row r="285">
      <c r="A285" s="112"/>
      <c r="B285" s="124"/>
      <c r="J285" s="112"/>
      <c r="T285" s="112"/>
      <c r="AC285" s="112"/>
    </row>
    <row r="286">
      <c r="A286" s="112"/>
      <c r="B286" s="124"/>
      <c r="J286" s="112"/>
      <c r="T286" s="112"/>
      <c r="AC286" s="112"/>
    </row>
    <row r="287">
      <c r="A287" s="112"/>
      <c r="B287" s="124"/>
      <c r="J287" s="112"/>
      <c r="T287" s="112"/>
      <c r="AC287" s="112"/>
    </row>
    <row r="288">
      <c r="A288" s="112"/>
      <c r="B288" s="124"/>
      <c r="J288" s="112"/>
      <c r="T288" s="112"/>
      <c r="AC288" s="112"/>
    </row>
    <row r="289">
      <c r="A289" s="112"/>
      <c r="B289" s="124"/>
      <c r="J289" s="112"/>
      <c r="T289" s="112"/>
      <c r="AC289" s="112"/>
    </row>
    <row r="290">
      <c r="A290" s="112"/>
      <c r="B290" s="124"/>
      <c r="J290" s="112"/>
      <c r="T290" s="112"/>
      <c r="AC290" s="112"/>
    </row>
    <row r="291">
      <c r="A291" s="112"/>
      <c r="B291" s="124"/>
      <c r="J291" s="112"/>
      <c r="T291" s="112"/>
      <c r="AC291" s="112"/>
    </row>
    <row r="292">
      <c r="A292" s="112"/>
      <c r="B292" s="124"/>
      <c r="J292" s="112"/>
      <c r="T292" s="112"/>
      <c r="AC292" s="112"/>
    </row>
    <row r="293">
      <c r="A293" s="112"/>
      <c r="B293" s="124"/>
      <c r="J293" s="112"/>
      <c r="T293" s="112"/>
      <c r="AC293" s="112"/>
    </row>
    <row r="294">
      <c r="A294" s="112"/>
      <c r="B294" s="124"/>
      <c r="J294" s="112"/>
      <c r="T294" s="112"/>
      <c r="AC294" s="112"/>
    </row>
    <row r="295">
      <c r="A295" s="112"/>
      <c r="B295" s="124"/>
      <c r="J295" s="112"/>
      <c r="T295" s="112"/>
      <c r="AC295" s="112"/>
    </row>
    <row r="296">
      <c r="A296" s="112"/>
      <c r="B296" s="124"/>
      <c r="J296" s="112"/>
      <c r="T296" s="112"/>
      <c r="AC296" s="112"/>
    </row>
    <row r="297">
      <c r="A297" s="112"/>
      <c r="B297" s="124"/>
      <c r="J297" s="112"/>
      <c r="T297" s="112"/>
      <c r="AC297" s="112"/>
    </row>
    <row r="298">
      <c r="A298" s="112"/>
      <c r="B298" s="124"/>
      <c r="J298" s="112"/>
      <c r="T298" s="112"/>
      <c r="AC298" s="112"/>
    </row>
    <row r="299">
      <c r="A299" s="112"/>
      <c r="B299" s="124"/>
      <c r="J299" s="112"/>
      <c r="T299" s="112"/>
      <c r="AC299" s="112"/>
    </row>
    <row r="300">
      <c r="A300" s="112"/>
      <c r="B300" s="124"/>
      <c r="J300" s="112"/>
      <c r="T300" s="112"/>
      <c r="AC300" s="112"/>
    </row>
    <row r="301">
      <c r="A301" s="112"/>
      <c r="B301" s="124"/>
      <c r="J301" s="112"/>
      <c r="T301" s="112"/>
      <c r="AC301" s="112"/>
    </row>
    <row r="302">
      <c r="A302" s="112"/>
      <c r="B302" s="124"/>
      <c r="J302" s="112"/>
      <c r="T302" s="112"/>
      <c r="AC302" s="112"/>
    </row>
    <row r="303">
      <c r="A303" s="112"/>
      <c r="B303" s="124"/>
      <c r="J303" s="112"/>
      <c r="T303" s="112"/>
      <c r="AC303" s="112"/>
    </row>
    <row r="304">
      <c r="A304" s="112"/>
      <c r="B304" s="124"/>
      <c r="J304" s="112"/>
      <c r="T304" s="112"/>
      <c r="AC304" s="112"/>
    </row>
    <row r="305">
      <c r="A305" s="112"/>
      <c r="B305" s="124"/>
      <c r="J305" s="112"/>
      <c r="T305" s="112"/>
      <c r="AC305" s="112"/>
    </row>
    <row r="306">
      <c r="A306" s="112"/>
      <c r="B306" s="124"/>
      <c r="J306" s="112"/>
      <c r="T306" s="112"/>
      <c r="AC306" s="112"/>
    </row>
    <row r="307">
      <c r="A307" s="112"/>
      <c r="B307" s="124"/>
      <c r="J307" s="112"/>
      <c r="T307" s="112"/>
      <c r="AC307" s="112"/>
    </row>
    <row r="308">
      <c r="A308" s="112"/>
      <c r="B308" s="124"/>
      <c r="J308" s="112"/>
      <c r="T308" s="112"/>
      <c r="AC308" s="112"/>
    </row>
    <row r="309">
      <c r="A309" s="112"/>
      <c r="B309" s="124"/>
      <c r="J309" s="112"/>
      <c r="T309" s="112"/>
      <c r="AC309" s="112"/>
    </row>
    <row r="310">
      <c r="A310" s="112"/>
      <c r="B310" s="124"/>
      <c r="J310" s="112"/>
      <c r="T310" s="112"/>
      <c r="AC310" s="112"/>
    </row>
    <row r="311">
      <c r="A311" s="112"/>
      <c r="B311" s="124"/>
      <c r="J311" s="112"/>
      <c r="T311" s="112"/>
      <c r="AC311" s="112"/>
    </row>
    <row r="312">
      <c r="A312" s="112"/>
      <c r="B312" s="124"/>
      <c r="J312" s="112"/>
      <c r="T312" s="112"/>
      <c r="AC312" s="112"/>
    </row>
    <row r="313">
      <c r="A313" s="112"/>
      <c r="B313" s="124"/>
      <c r="J313" s="112"/>
      <c r="T313" s="112"/>
      <c r="AC313" s="112"/>
    </row>
    <row r="314">
      <c r="A314" s="112"/>
      <c r="B314" s="124"/>
      <c r="J314" s="112"/>
      <c r="T314" s="112"/>
      <c r="AC314" s="112"/>
    </row>
    <row r="315">
      <c r="A315" s="112"/>
      <c r="B315" s="124"/>
      <c r="J315" s="112"/>
      <c r="T315" s="112"/>
      <c r="AC315" s="112"/>
    </row>
    <row r="316">
      <c r="A316" s="112"/>
      <c r="B316" s="124"/>
      <c r="J316" s="112"/>
      <c r="T316" s="112"/>
      <c r="AC316" s="112"/>
    </row>
    <row r="317">
      <c r="A317" s="112"/>
      <c r="B317" s="124"/>
      <c r="J317" s="112"/>
      <c r="T317" s="112"/>
      <c r="AC317" s="112"/>
    </row>
    <row r="318">
      <c r="A318" s="112"/>
      <c r="B318" s="124"/>
      <c r="J318" s="112"/>
      <c r="T318" s="112"/>
      <c r="AC318" s="112"/>
    </row>
    <row r="319">
      <c r="A319" s="112"/>
      <c r="B319" s="124"/>
      <c r="J319" s="112"/>
      <c r="T319" s="112"/>
      <c r="AC319" s="112"/>
    </row>
    <row r="320">
      <c r="A320" s="112"/>
      <c r="B320" s="124"/>
      <c r="J320" s="112"/>
      <c r="T320" s="112"/>
      <c r="AC320" s="112"/>
    </row>
    <row r="321">
      <c r="A321" s="112"/>
      <c r="B321" s="124"/>
      <c r="J321" s="112"/>
      <c r="T321" s="112"/>
      <c r="AC321" s="112"/>
    </row>
    <row r="322">
      <c r="A322" s="112"/>
      <c r="B322" s="124"/>
      <c r="J322" s="112"/>
      <c r="T322" s="112"/>
      <c r="AC322" s="112"/>
    </row>
    <row r="323">
      <c r="A323" s="112"/>
      <c r="B323" s="124"/>
      <c r="J323" s="112"/>
      <c r="T323" s="112"/>
      <c r="AC323" s="112"/>
    </row>
    <row r="324">
      <c r="A324" s="112"/>
      <c r="B324" s="124"/>
      <c r="J324" s="112"/>
      <c r="T324" s="112"/>
      <c r="AC324" s="112"/>
    </row>
    <row r="325">
      <c r="A325" s="112"/>
      <c r="B325" s="124"/>
      <c r="J325" s="112"/>
      <c r="T325" s="112"/>
      <c r="AC325" s="112"/>
    </row>
    <row r="326">
      <c r="A326" s="112"/>
      <c r="B326" s="124"/>
      <c r="J326" s="112"/>
      <c r="T326" s="112"/>
      <c r="AC326" s="112"/>
    </row>
    <row r="327">
      <c r="A327" s="112"/>
      <c r="B327" s="124"/>
      <c r="J327" s="112"/>
      <c r="T327" s="112"/>
      <c r="AC327" s="112"/>
    </row>
    <row r="328">
      <c r="A328" s="112"/>
      <c r="B328" s="124"/>
      <c r="J328" s="112"/>
      <c r="T328" s="112"/>
      <c r="AC328" s="112"/>
    </row>
    <row r="329">
      <c r="A329" s="112"/>
      <c r="B329" s="124"/>
      <c r="J329" s="112"/>
      <c r="T329" s="112"/>
      <c r="AC329" s="112"/>
    </row>
    <row r="330">
      <c r="A330" s="112"/>
      <c r="B330" s="124"/>
      <c r="J330" s="112"/>
      <c r="T330" s="112"/>
      <c r="AC330" s="112"/>
    </row>
    <row r="331">
      <c r="A331" s="112"/>
      <c r="B331" s="124"/>
      <c r="J331" s="112"/>
      <c r="T331" s="112"/>
      <c r="AC331" s="112"/>
    </row>
    <row r="332">
      <c r="A332" s="112"/>
      <c r="B332" s="124"/>
      <c r="J332" s="112"/>
      <c r="T332" s="112"/>
      <c r="AC332" s="112"/>
    </row>
    <row r="333">
      <c r="A333" s="112"/>
      <c r="B333" s="124"/>
      <c r="J333" s="112"/>
      <c r="T333" s="112"/>
      <c r="AC333" s="112"/>
    </row>
    <row r="334">
      <c r="A334" s="112"/>
      <c r="B334" s="124"/>
      <c r="J334" s="112"/>
      <c r="T334" s="112"/>
      <c r="AC334" s="112"/>
    </row>
    <row r="335">
      <c r="A335" s="112"/>
      <c r="B335" s="124"/>
      <c r="J335" s="112"/>
      <c r="T335" s="112"/>
      <c r="AC335" s="112"/>
    </row>
    <row r="336">
      <c r="A336" s="112"/>
      <c r="B336" s="124"/>
      <c r="J336" s="112"/>
      <c r="T336" s="112"/>
      <c r="AC336" s="112"/>
    </row>
    <row r="337">
      <c r="A337" s="112"/>
      <c r="B337" s="124"/>
      <c r="J337" s="112"/>
      <c r="T337" s="112"/>
      <c r="AC337" s="112"/>
    </row>
    <row r="338">
      <c r="A338" s="112"/>
      <c r="B338" s="124"/>
      <c r="J338" s="112"/>
      <c r="T338" s="112"/>
      <c r="AC338" s="112"/>
    </row>
    <row r="339">
      <c r="A339" s="112"/>
      <c r="B339" s="124"/>
      <c r="J339" s="112"/>
      <c r="T339" s="112"/>
      <c r="AC339" s="112"/>
    </row>
    <row r="340">
      <c r="A340" s="112"/>
      <c r="B340" s="124"/>
      <c r="J340" s="112"/>
      <c r="T340" s="112"/>
      <c r="AC340" s="112"/>
    </row>
    <row r="341">
      <c r="A341" s="112"/>
      <c r="B341" s="124"/>
      <c r="J341" s="112"/>
      <c r="T341" s="112"/>
      <c r="AC341" s="112"/>
    </row>
    <row r="342">
      <c r="A342" s="112"/>
      <c r="B342" s="124"/>
      <c r="J342" s="112"/>
      <c r="T342" s="112"/>
      <c r="AC342" s="112"/>
    </row>
    <row r="343">
      <c r="A343" s="112"/>
      <c r="B343" s="124"/>
      <c r="J343" s="112"/>
      <c r="T343" s="112"/>
      <c r="AC343" s="112"/>
    </row>
    <row r="344">
      <c r="A344" s="112"/>
      <c r="B344" s="124"/>
      <c r="J344" s="112"/>
      <c r="T344" s="112"/>
      <c r="AC344" s="112"/>
    </row>
    <row r="345">
      <c r="A345" s="112"/>
      <c r="B345" s="124"/>
      <c r="J345" s="112"/>
      <c r="T345" s="112"/>
      <c r="AC345" s="112"/>
    </row>
    <row r="346">
      <c r="A346" s="112"/>
      <c r="B346" s="124"/>
      <c r="J346" s="112"/>
      <c r="T346" s="112"/>
      <c r="AC346" s="112"/>
    </row>
    <row r="347">
      <c r="A347" s="112"/>
      <c r="B347" s="124"/>
      <c r="J347" s="112"/>
      <c r="T347" s="112"/>
      <c r="AC347" s="112"/>
    </row>
    <row r="348">
      <c r="A348" s="112"/>
      <c r="B348" s="124"/>
      <c r="J348" s="112"/>
      <c r="T348" s="112"/>
      <c r="AC348" s="112"/>
    </row>
    <row r="349">
      <c r="A349" s="112"/>
      <c r="B349" s="124"/>
      <c r="J349" s="112"/>
      <c r="T349" s="112"/>
      <c r="AC349" s="112"/>
    </row>
    <row r="350">
      <c r="A350" s="112"/>
      <c r="B350" s="124"/>
      <c r="J350" s="112"/>
      <c r="T350" s="112"/>
      <c r="AC350" s="112"/>
    </row>
    <row r="351">
      <c r="A351" s="112"/>
      <c r="B351" s="124"/>
      <c r="J351" s="112"/>
      <c r="T351" s="112"/>
      <c r="AC351" s="112"/>
    </row>
    <row r="352">
      <c r="A352" s="112"/>
      <c r="B352" s="124"/>
      <c r="J352" s="112"/>
      <c r="T352" s="112"/>
      <c r="AC352" s="112"/>
    </row>
    <row r="353">
      <c r="A353" s="112"/>
      <c r="B353" s="124"/>
      <c r="J353" s="112"/>
      <c r="T353" s="112"/>
      <c r="AC353" s="112"/>
    </row>
    <row r="354">
      <c r="A354" s="112"/>
      <c r="B354" s="124"/>
      <c r="J354" s="112"/>
      <c r="T354" s="112"/>
      <c r="AC354" s="112"/>
    </row>
    <row r="355">
      <c r="A355" s="112"/>
      <c r="B355" s="124"/>
      <c r="J355" s="112"/>
      <c r="T355" s="112"/>
      <c r="AC355" s="112"/>
    </row>
    <row r="356">
      <c r="A356" s="112"/>
      <c r="B356" s="124"/>
      <c r="J356" s="112"/>
      <c r="T356" s="112"/>
      <c r="AC356" s="112"/>
    </row>
    <row r="357">
      <c r="A357" s="112"/>
      <c r="B357" s="124"/>
      <c r="J357" s="112"/>
      <c r="T357" s="112"/>
      <c r="AC357" s="112"/>
    </row>
    <row r="358">
      <c r="A358" s="112"/>
      <c r="B358" s="124"/>
      <c r="J358" s="112"/>
      <c r="T358" s="112"/>
      <c r="AC358" s="112"/>
    </row>
    <row r="359">
      <c r="A359" s="112"/>
      <c r="B359" s="124"/>
      <c r="J359" s="112"/>
      <c r="T359" s="112"/>
      <c r="AC359" s="112"/>
    </row>
    <row r="360">
      <c r="A360" s="112"/>
      <c r="B360" s="124"/>
      <c r="J360" s="112"/>
      <c r="T360" s="112"/>
      <c r="AC360" s="112"/>
    </row>
    <row r="361">
      <c r="A361" s="112"/>
      <c r="B361" s="124"/>
      <c r="J361" s="112"/>
      <c r="T361" s="112"/>
      <c r="AC361" s="112"/>
    </row>
    <row r="362">
      <c r="A362" s="112"/>
      <c r="B362" s="124"/>
      <c r="J362" s="112"/>
      <c r="T362" s="112"/>
      <c r="AC362" s="112"/>
    </row>
    <row r="363">
      <c r="A363" s="112"/>
      <c r="B363" s="124"/>
      <c r="J363" s="112"/>
      <c r="T363" s="112"/>
      <c r="AC363" s="112"/>
    </row>
    <row r="364">
      <c r="A364" s="112"/>
      <c r="B364" s="124"/>
      <c r="J364" s="112"/>
      <c r="T364" s="112"/>
      <c r="AC364" s="112"/>
    </row>
    <row r="365">
      <c r="A365" s="112"/>
      <c r="B365" s="124"/>
      <c r="J365" s="112"/>
      <c r="T365" s="112"/>
      <c r="AC365" s="112"/>
    </row>
    <row r="366">
      <c r="A366" s="112"/>
      <c r="B366" s="124"/>
      <c r="J366" s="112"/>
      <c r="T366" s="112"/>
      <c r="AC366" s="112"/>
    </row>
    <row r="367">
      <c r="A367" s="112"/>
      <c r="B367" s="124"/>
      <c r="J367" s="112"/>
      <c r="T367" s="112"/>
      <c r="AC367" s="112"/>
    </row>
    <row r="368">
      <c r="A368" s="112"/>
      <c r="B368" s="124"/>
      <c r="J368" s="112"/>
      <c r="T368" s="112"/>
      <c r="AC368" s="112"/>
    </row>
    <row r="369">
      <c r="A369" s="112"/>
      <c r="B369" s="124"/>
      <c r="J369" s="112"/>
      <c r="T369" s="112"/>
      <c r="AC369" s="112"/>
    </row>
    <row r="370">
      <c r="A370" s="112"/>
      <c r="B370" s="124"/>
      <c r="J370" s="112"/>
      <c r="T370" s="112"/>
      <c r="AC370" s="112"/>
    </row>
    <row r="371">
      <c r="A371" s="112"/>
      <c r="B371" s="124"/>
      <c r="J371" s="112"/>
      <c r="T371" s="112"/>
      <c r="AC371" s="112"/>
    </row>
    <row r="372">
      <c r="A372" s="112"/>
      <c r="B372" s="124"/>
      <c r="J372" s="112"/>
      <c r="T372" s="112"/>
      <c r="AC372" s="112"/>
    </row>
    <row r="373">
      <c r="A373" s="112"/>
      <c r="B373" s="124"/>
      <c r="J373" s="112"/>
      <c r="T373" s="112"/>
      <c r="AC373" s="112"/>
    </row>
    <row r="374">
      <c r="A374" s="112"/>
      <c r="B374" s="124"/>
      <c r="J374" s="112"/>
      <c r="T374" s="112"/>
      <c r="AC374" s="112"/>
    </row>
    <row r="375">
      <c r="A375" s="112"/>
      <c r="B375" s="124"/>
      <c r="J375" s="112"/>
      <c r="T375" s="112"/>
      <c r="AC375" s="112"/>
    </row>
    <row r="376">
      <c r="A376" s="112"/>
      <c r="B376" s="124"/>
      <c r="J376" s="112"/>
      <c r="T376" s="112"/>
      <c r="AC376" s="112"/>
    </row>
    <row r="377">
      <c r="A377" s="112"/>
      <c r="B377" s="124"/>
      <c r="J377" s="112"/>
      <c r="T377" s="112"/>
      <c r="AC377" s="112"/>
    </row>
    <row r="378">
      <c r="A378" s="112"/>
      <c r="B378" s="124"/>
      <c r="J378" s="112"/>
      <c r="T378" s="112"/>
      <c r="AC378" s="112"/>
    </row>
    <row r="379">
      <c r="A379" s="112"/>
      <c r="B379" s="124"/>
      <c r="J379" s="112"/>
      <c r="T379" s="112"/>
      <c r="AC379" s="112"/>
    </row>
    <row r="380">
      <c r="A380" s="112"/>
      <c r="B380" s="124"/>
      <c r="J380" s="112"/>
      <c r="T380" s="112"/>
      <c r="AC380" s="112"/>
    </row>
    <row r="381">
      <c r="A381" s="112"/>
      <c r="B381" s="124"/>
      <c r="J381" s="112"/>
      <c r="T381" s="112"/>
      <c r="AC381" s="112"/>
    </row>
    <row r="382">
      <c r="A382" s="112"/>
      <c r="B382" s="124"/>
      <c r="J382" s="112"/>
      <c r="T382" s="112"/>
      <c r="AC382" s="112"/>
    </row>
    <row r="383">
      <c r="A383" s="112"/>
      <c r="B383" s="124"/>
      <c r="J383" s="112"/>
      <c r="T383" s="112"/>
      <c r="AC383" s="112"/>
    </row>
    <row r="384">
      <c r="A384" s="112"/>
      <c r="B384" s="124"/>
      <c r="J384" s="112"/>
      <c r="T384" s="112"/>
      <c r="AC384" s="112"/>
    </row>
    <row r="385">
      <c r="A385" s="112"/>
      <c r="B385" s="124"/>
      <c r="J385" s="112"/>
      <c r="T385" s="112"/>
      <c r="AC385" s="112"/>
    </row>
    <row r="386">
      <c r="A386" s="112"/>
      <c r="B386" s="124"/>
      <c r="J386" s="112"/>
      <c r="T386" s="112"/>
      <c r="AC386" s="112"/>
    </row>
    <row r="387">
      <c r="A387" s="112"/>
      <c r="B387" s="124"/>
      <c r="J387" s="112"/>
      <c r="T387" s="112"/>
      <c r="AC387" s="112"/>
    </row>
    <row r="388">
      <c r="A388" s="112"/>
      <c r="B388" s="124"/>
      <c r="J388" s="112"/>
      <c r="T388" s="112"/>
      <c r="AC388" s="112"/>
    </row>
    <row r="389">
      <c r="A389" s="112"/>
      <c r="B389" s="124"/>
      <c r="J389" s="112"/>
      <c r="T389" s="112"/>
      <c r="AC389" s="112"/>
    </row>
    <row r="390">
      <c r="A390" s="112"/>
      <c r="B390" s="124"/>
      <c r="J390" s="112"/>
      <c r="T390" s="112"/>
      <c r="AC390" s="112"/>
    </row>
    <row r="391">
      <c r="A391" s="112"/>
      <c r="B391" s="124"/>
      <c r="J391" s="112"/>
      <c r="T391" s="112"/>
      <c r="AC391" s="112"/>
    </row>
    <row r="392">
      <c r="A392" s="112"/>
      <c r="B392" s="124"/>
      <c r="J392" s="112"/>
      <c r="T392" s="112"/>
      <c r="AC392" s="112"/>
    </row>
    <row r="393">
      <c r="A393" s="112"/>
      <c r="B393" s="124"/>
      <c r="J393" s="112"/>
      <c r="T393" s="112"/>
      <c r="AC393" s="112"/>
    </row>
    <row r="394">
      <c r="A394" s="112"/>
      <c r="B394" s="124"/>
      <c r="J394" s="112"/>
      <c r="T394" s="112"/>
      <c r="AC394" s="112"/>
    </row>
    <row r="395">
      <c r="A395" s="112"/>
      <c r="B395" s="124"/>
      <c r="J395" s="112"/>
      <c r="T395" s="112"/>
      <c r="AC395" s="112"/>
    </row>
    <row r="396">
      <c r="A396" s="112"/>
      <c r="B396" s="124"/>
      <c r="J396" s="112"/>
      <c r="T396" s="112"/>
      <c r="AC396" s="112"/>
    </row>
    <row r="397">
      <c r="A397" s="112"/>
      <c r="B397" s="124"/>
      <c r="J397" s="112"/>
      <c r="T397" s="112"/>
      <c r="AC397" s="112"/>
    </row>
    <row r="398">
      <c r="A398" s="112"/>
      <c r="B398" s="124"/>
      <c r="J398" s="112"/>
      <c r="T398" s="112"/>
      <c r="AC398" s="112"/>
    </row>
    <row r="399">
      <c r="A399" s="112"/>
      <c r="B399" s="124"/>
      <c r="J399" s="112"/>
      <c r="T399" s="112"/>
      <c r="AC399" s="112"/>
    </row>
    <row r="400">
      <c r="A400" s="112"/>
      <c r="B400" s="124"/>
      <c r="J400" s="112"/>
      <c r="T400" s="112"/>
      <c r="AC400" s="112"/>
    </row>
    <row r="401">
      <c r="A401" s="112"/>
      <c r="B401" s="124"/>
      <c r="J401" s="112"/>
      <c r="T401" s="112"/>
      <c r="AC401" s="112"/>
    </row>
    <row r="402">
      <c r="A402" s="112"/>
      <c r="B402" s="124"/>
      <c r="J402" s="112"/>
      <c r="T402" s="112"/>
      <c r="AC402" s="112"/>
    </row>
    <row r="403">
      <c r="A403" s="112"/>
      <c r="B403" s="124"/>
      <c r="J403" s="112"/>
      <c r="T403" s="112"/>
      <c r="AC403" s="112"/>
    </row>
    <row r="404">
      <c r="A404" s="112"/>
      <c r="B404" s="124"/>
      <c r="J404" s="112"/>
      <c r="T404" s="112"/>
      <c r="AC404" s="112"/>
    </row>
    <row r="405">
      <c r="A405" s="112"/>
      <c r="B405" s="124"/>
      <c r="J405" s="112"/>
      <c r="T405" s="112"/>
      <c r="AC405" s="112"/>
    </row>
    <row r="406">
      <c r="A406" s="112"/>
      <c r="B406" s="124"/>
      <c r="J406" s="112"/>
      <c r="T406" s="112"/>
      <c r="AC406" s="112"/>
    </row>
    <row r="407">
      <c r="A407" s="112"/>
      <c r="B407" s="124"/>
      <c r="J407" s="112"/>
      <c r="T407" s="112"/>
      <c r="AC407" s="112"/>
    </row>
    <row r="408">
      <c r="A408" s="112"/>
      <c r="B408" s="124"/>
      <c r="J408" s="112"/>
      <c r="T408" s="112"/>
      <c r="AC408" s="112"/>
    </row>
    <row r="409">
      <c r="A409" s="112"/>
      <c r="B409" s="124"/>
      <c r="J409" s="112"/>
      <c r="T409" s="112"/>
      <c r="AC409" s="112"/>
    </row>
    <row r="410">
      <c r="A410" s="112"/>
      <c r="B410" s="124"/>
      <c r="J410" s="112"/>
      <c r="T410" s="112"/>
      <c r="AC410" s="112"/>
    </row>
    <row r="411">
      <c r="A411" s="112"/>
      <c r="B411" s="124"/>
      <c r="J411" s="112"/>
      <c r="T411" s="112"/>
      <c r="AC411" s="112"/>
    </row>
    <row r="412">
      <c r="A412" s="112"/>
      <c r="B412" s="124"/>
      <c r="J412" s="112"/>
      <c r="T412" s="112"/>
      <c r="AC412" s="112"/>
    </row>
    <row r="413">
      <c r="A413" s="112"/>
      <c r="B413" s="124"/>
      <c r="J413" s="112"/>
      <c r="T413" s="112"/>
      <c r="AC413" s="112"/>
    </row>
    <row r="414">
      <c r="A414" s="112"/>
      <c r="B414" s="124"/>
      <c r="J414" s="112"/>
      <c r="T414" s="112"/>
      <c r="AC414" s="112"/>
    </row>
    <row r="415">
      <c r="A415" s="112"/>
      <c r="B415" s="124"/>
      <c r="J415" s="112"/>
      <c r="T415" s="112"/>
      <c r="AC415" s="112"/>
    </row>
    <row r="416">
      <c r="A416" s="112"/>
      <c r="B416" s="124"/>
      <c r="J416" s="112"/>
      <c r="T416" s="112"/>
      <c r="AC416" s="112"/>
    </row>
    <row r="417">
      <c r="A417" s="112"/>
      <c r="B417" s="124"/>
      <c r="J417" s="112"/>
      <c r="T417" s="112"/>
      <c r="AC417" s="112"/>
    </row>
    <row r="418">
      <c r="A418" s="112"/>
      <c r="B418" s="124"/>
      <c r="J418" s="112"/>
      <c r="T418" s="112"/>
      <c r="AC418" s="112"/>
    </row>
    <row r="419">
      <c r="A419" s="112"/>
      <c r="B419" s="124"/>
      <c r="J419" s="112"/>
      <c r="T419" s="112"/>
      <c r="AC419" s="112"/>
    </row>
    <row r="420">
      <c r="A420" s="112"/>
      <c r="B420" s="124"/>
      <c r="J420" s="112"/>
      <c r="T420" s="112"/>
      <c r="AC420" s="112"/>
    </row>
    <row r="421">
      <c r="A421" s="112"/>
      <c r="B421" s="124"/>
      <c r="J421" s="112"/>
      <c r="T421" s="112"/>
      <c r="AC421" s="112"/>
    </row>
    <row r="422">
      <c r="A422" s="112"/>
      <c r="B422" s="124"/>
      <c r="J422" s="112"/>
      <c r="T422" s="112"/>
      <c r="AC422" s="112"/>
    </row>
    <row r="423">
      <c r="A423" s="112"/>
      <c r="B423" s="124"/>
      <c r="J423" s="112"/>
      <c r="T423" s="112"/>
      <c r="AC423" s="112"/>
    </row>
    <row r="424">
      <c r="A424" s="112"/>
      <c r="B424" s="124"/>
      <c r="J424" s="112"/>
      <c r="T424" s="112"/>
      <c r="AC424" s="112"/>
    </row>
    <row r="425">
      <c r="A425" s="112"/>
      <c r="B425" s="124"/>
      <c r="J425" s="112"/>
      <c r="T425" s="112"/>
      <c r="AC425" s="112"/>
    </row>
    <row r="426">
      <c r="A426" s="112"/>
      <c r="B426" s="124"/>
      <c r="J426" s="112"/>
      <c r="T426" s="112"/>
      <c r="AC426" s="112"/>
    </row>
    <row r="427">
      <c r="A427" s="112"/>
      <c r="B427" s="124"/>
      <c r="J427" s="112"/>
      <c r="T427" s="112"/>
      <c r="AC427" s="112"/>
    </row>
    <row r="428">
      <c r="A428" s="112"/>
      <c r="B428" s="124"/>
      <c r="J428" s="112"/>
      <c r="T428" s="112"/>
      <c r="AC428" s="112"/>
    </row>
    <row r="429">
      <c r="A429" s="112"/>
      <c r="B429" s="124"/>
      <c r="J429" s="112"/>
      <c r="T429" s="112"/>
      <c r="AC429" s="112"/>
    </row>
    <row r="430">
      <c r="A430" s="112"/>
      <c r="B430" s="124"/>
      <c r="J430" s="112"/>
      <c r="T430" s="112"/>
      <c r="AC430" s="112"/>
    </row>
    <row r="431">
      <c r="A431" s="112"/>
      <c r="B431" s="124"/>
      <c r="J431" s="112"/>
      <c r="T431" s="112"/>
      <c r="AC431" s="112"/>
    </row>
    <row r="432">
      <c r="A432" s="112"/>
      <c r="B432" s="124"/>
      <c r="J432" s="112"/>
      <c r="T432" s="112"/>
      <c r="AC432" s="112"/>
    </row>
    <row r="433">
      <c r="A433" s="112"/>
      <c r="B433" s="124"/>
      <c r="J433" s="112"/>
      <c r="T433" s="112"/>
      <c r="AC433" s="112"/>
    </row>
    <row r="434">
      <c r="A434" s="112"/>
      <c r="B434" s="124"/>
      <c r="J434" s="112"/>
      <c r="T434" s="112"/>
      <c r="AC434" s="112"/>
    </row>
    <row r="435">
      <c r="A435" s="112"/>
      <c r="B435" s="124"/>
      <c r="J435" s="112"/>
      <c r="T435" s="112"/>
      <c r="AC435" s="112"/>
    </row>
    <row r="436">
      <c r="A436" s="112"/>
      <c r="B436" s="124"/>
      <c r="J436" s="112"/>
      <c r="T436" s="112"/>
      <c r="AC436" s="112"/>
    </row>
    <row r="437">
      <c r="A437" s="112"/>
      <c r="B437" s="124"/>
      <c r="J437" s="112"/>
      <c r="T437" s="112"/>
      <c r="AC437" s="112"/>
    </row>
    <row r="438">
      <c r="A438" s="112"/>
      <c r="B438" s="124"/>
      <c r="J438" s="112"/>
      <c r="T438" s="112"/>
      <c r="AC438" s="112"/>
    </row>
    <row r="439">
      <c r="A439" s="112"/>
      <c r="B439" s="124"/>
      <c r="J439" s="112"/>
      <c r="T439" s="112"/>
      <c r="AC439" s="112"/>
    </row>
    <row r="440">
      <c r="A440" s="112"/>
      <c r="B440" s="124"/>
      <c r="J440" s="112"/>
      <c r="T440" s="112"/>
      <c r="AC440" s="112"/>
    </row>
    <row r="441">
      <c r="A441" s="112"/>
      <c r="B441" s="124"/>
      <c r="J441" s="112"/>
      <c r="T441" s="112"/>
      <c r="AC441" s="112"/>
    </row>
    <row r="442">
      <c r="A442" s="112"/>
      <c r="B442" s="124"/>
      <c r="J442" s="112"/>
      <c r="T442" s="112"/>
      <c r="AC442" s="112"/>
    </row>
    <row r="443">
      <c r="A443" s="112"/>
      <c r="B443" s="124"/>
      <c r="J443" s="112"/>
      <c r="T443" s="112"/>
      <c r="AC443" s="112"/>
    </row>
    <row r="444">
      <c r="A444" s="112"/>
      <c r="B444" s="124"/>
      <c r="J444" s="112"/>
      <c r="T444" s="112"/>
      <c r="AC444" s="112"/>
    </row>
    <row r="445">
      <c r="A445" s="112"/>
      <c r="B445" s="124"/>
      <c r="J445" s="112"/>
      <c r="T445" s="112"/>
      <c r="AC445" s="112"/>
    </row>
    <row r="446">
      <c r="A446" s="112"/>
      <c r="B446" s="124"/>
      <c r="J446" s="112"/>
      <c r="T446" s="112"/>
      <c r="AC446" s="112"/>
    </row>
    <row r="447">
      <c r="A447" s="112"/>
      <c r="B447" s="124"/>
      <c r="J447" s="112"/>
      <c r="T447" s="112"/>
      <c r="AC447" s="112"/>
    </row>
    <row r="448">
      <c r="A448" s="112"/>
      <c r="B448" s="124"/>
      <c r="J448" s="112"/>
      <c r="T448" s="112"/>
      <c r="AC448" s="112"/>
    </row>
    <row r="449">
      <c r="A449" s="112"/>
      <c r="B449" s="124"/>
      <c r="J449" s="112"/>
      <c r="T449" s="112"/>
      <c r="AC449" s="112"/>
    </row>
    <row r="450">
      <c r="A450" s="112"/>
      <c r="B450" s="124"/>
      <c r="J450" s="112"/>
      <c r="T450" s="112"/>
      <c r="AC450" s="112"/>
    </row>
    <row r="451">
      <c r="A451" s="112"/>
      <c r="B451" s="124"/>
      <c r="J451" s="112"/>
      <c r="T451" s="112"/>
      <c r="AC451" s="112"/>
    </row>
    <row r="452">
      <c r="A452" s="112"/>
      <c r="B452" s="124"/>
      <c r="J452" s="112"/>
      <c r="T452" s="112"/>
      <c r="AC452" s="112"/>
    </row>
    <row r="453">
      <c r="A453" s="112"/>
      <c r="B453" s="124"/>
      <c r="J453" s="112"/>
      <c r="T453" s="112"/>
      <c r="AC453" s="112"/>
    </row>
    <row r="454">
      <c r="A454" s="112"/>
      <c r="B454" s="124"/>
      <c r="J454" s="112"/>
      <c r="T454" s="112"/>
      <c r="AC454" s="112"/>
    </row>
    <row r="455">
      <c r="A455" s="112"/>
      <c r="B455" s="124"/>
      <c r="J455" s="112"/>
      <c r="T455" s="112"/>
      <c r="AC455" s="112"/>
    </row>
    <row r="456">
      <c r="A456" s="112"/>
      <c r="B456" s="124"/>
      <c r="J456" s="112"/>
      <c r="T456" s="112"/>
      <c r="AC456" s="112"/>
    </row>
    <row r="457">
      <c r="A457" s="112"/>
      <c r="B457" s="124"/>
      <c r="J457" s="112"/>
      <c r="T457" s="112"/>
      <c r="AC457" s="112"/>
    </row>
    <row r="458">
      <c r="A458" s="112"/>
      <c r="B458" s="124"/>
      <c r="J458" s="112"/>
      <c r="T458" s="112"/>
      <c r="AC458" s="112"/>
    </row>
    <row r="459">
      <c r="A459" s="112"/>
      <c r="B459" s="124"/>
      <c r="J459" s="112"/>
      <c r="T459" s="112"/>
      <c r="AC459" s="112"/>
    </row>
    <row r="460">
      <c r="A460" s="112"/>
      <c r="B460" s="124"/>
      <c r="J460" s="112"/>
      <c r="T460" s="112"/>
      <c r="AC460" s="112"/>
    </row>
    <row r="461">
      <c r="A461" s="112"/>
      <c r="B461" s="124"/>
      <c r="J461" s="112"/>
      <c r="T461" s="112"/>
      <c r="AC461" s="112"/>
    </row>
    <row r="462">
      <c r="A462" s="112"/>
      <c r="B462" s="124"/>
      <c r="J462" s="112"/>
      <c r="T462" s="112"/>
      <c r="AC462" s="112"/>
    </row>
    <row r="463">
      <c r="A463" s="112"/>
      <c r="B463" s="124"/>
      <c r="J463" s="112"/>
      <c r="T463" s="112"/>
      <c r="AC463" s="112"/>
    </row>
    <row r="464">
      <c r="A464" s="112"/>
      <c r="B464" s="124"/>
      <c r="J464" s="112"/>
      <c r="T464" s="112"/>
      <c r="AC464" s="112"/>
    </row>
    <row r="465">
      <c r="A465" s="112"/>
      <c r="B465" s="124"/>
      <c r="J465" s="112"/>
      <c r="T465" s="112"/>
      <c r="AC465" s="112"/>
    </row>
    <row r="466">
      <c r="A466" s="112"/>
      <c r="B466" s="124"/>
      <c r="J466" s="112"/>
      <c r="T466" s="112"/>
      <c r="AC466" s="112"/>
    </row>
    <row r="467">
      <c r="A467" s="112"/>
      <c r="B467" s="124"/>
      <c r="J467" s="112"/>
      <c r="T467" s="112"/>
      <c r="AC467" s="112"/>
    </row>
    <row r="468">
      <c r="A468" s="112"/>
      <c r="B468" s="124"/>
      <c r="J468" s="112"/>
      <c r="T468" s="112"/>
      <c r="AC468" s="112"/>
    </row>
    <row r="469">
      <c r="A469" s="112"/>
      <c r="B469" s="124"/>
      <c r="J469" s="112"/>
      <c r="T469" s="112"/>
      <c r="AC469" s="112"/>
    </row>
    <row r="470">
      <c r="A470" s="112"/>
      <c r="B470" s="124"/>
      <c r="J470" s="112"/>
      <c r="T470" s="112"/>
      <c r="AC470" s="112"/>
    </row>
    <row r="471">
      <c r="A471" s="112"/>
      <c r="B471" s="124"/>
      <c r="J471" s="112"/>
      <c r="T471" s="112"/>
      <c r="AC471" s="112"/>
    </row>
    <row r="472">
      <c r="A472" s="112"/>
      <c r="B472" s="124"/>
      <c r="J472" s="112"/>
      <c r="T472" s="112"/>
      <c r="AC472" s="112"/>
    </row>
    <row r="473">
      <c r="A473" s="112"/>
      <c r="B473" s="124"/>
      <c r="J473" s="112"/>
      <c r="T473" s="112"/>
      <c r="AC473" s="112"/>
    </row>
    <row r="474">
      <c r="A474" s="112"/>
      <c r="B474" s="124"/>
      <c r="J474" s="112"/>
      <c r="T474" s="112"/>
      <c r="AC474" s="112"/>
    </row>
    <row r="475">
      <c r="A475" s="112"/>
      <c r="B475" s="124"/>
      <c r="J475" s="112"/>
      <c r="T475" s="112"/>
      <c r="AC475" s="112"/>
    </row>
    <row r="476">
      <c r="A476" s="112"/>
      <c r="B476" s="124"/>
      <c r="J476" s="112"/>
      <c r="T476" s="112"/>
      <c r="AC476" s="112"/>
    </row>
    <row r="477">
      <c r="A477" s="112"/>
      <c r="B477" s="124"/>
      <c r="J477" s="112"/>
      <c r="T477" s="112"/>
      <c r="AC477" s="112"/>
    </row>
    <row r="478">
      <c r="A478" s="112"/>
      <c r="B478" s="124"/>
      <c r="J478" s="112"/>
      <c r="T478" s="112"/>
      <c r="AC478" s="112"/>
    </row>
    <row r="479">
      <c r="A479" s="112"/>
      <c r="B479" s="124"/>
      <c r="J479" s="112"/>
      <c r="T479" s="112"/>
      <c r="AC479" s="112"/>
    </row>
    <row r="480">
      <c r="A480" s="112"/>
      <c r="B480" s="124"/>
      <c r="J480" s="112"/>
      <c r="T480" s="112"/>
      <c r="AC480" s="112"/>
    </row>
    <row r="481">
      <c r="A481" s="112"/>
      <c r="B481" s="124"/>
      <c r="J481" s="112"/>
      <c r="T481" s="112"/>
      <c r="AC481" s="112"/>
    </row>
    <row r="482">
      <c r="A482" s="112"/>
      <c r="B482" s="124"/>
      <c r="J482" s="112"/>
      <c r="T482" s="112"/>
      <c r="AC482" s="112"/>
    </row>
    <row r="483">
      <c r="A483" s="112"/>
      <c r="B483" s="124"/>
      <c r="J483" s="112"/>
      <c r="T483" s="112"/>
      <c r="AC483" s="112"/>
    </row>
    <row r="484">
      <c r="A484" s="112"/>
      <c r="B484" s="124"/>
      <c r="J484" s="112"/>
      <c r="T484" s="112"/>
      <c r="AC484" s="112"/>
    </row>
    <row r="485">
      <c r="A485" s="112"/>
      <c r="B485" s="124"/>
      <c r="J485" s="112"/>
      <c r="T485" s="112"/>
      <c r="AC485" s="112"/>
    </row>
    <row r="486">
      <c r="A486" s="112"/>
      <c r="B486" s="124"/>
      <c r="J486" s="112"/>
      <c r="T486" s="112"/>
      <c r="AC486" s="112"/>
    </row>
    <row r="487">
      <c r="A487" s="112"/>
      <c r="B487" s="124"/>
      <c r="J487" s="112"/>
      <c r="T487" s="112"/>
      <c r="AC487" s="112"/>
    </row>
    <row r="488">
      <c r="A488" s="112"/>
      <c r="B488" s="124"/>
      <c r="J488" s="112"/>
      <c r="T488" s="112"/>
      <c r="AC488" s="112"/>
    </row>
    <row r="489">
      <c r="A489" s="112"/>
      <c r="B489" s="124"/>
      <c r="J489" s="112"/>
      <c r="T489" s="112"/>
      <c r="AC489" s="112"/>
    </row>
    <row r="490">
      <c r="A490" s="112"/>
      <c r="B490" s="124"/>
      <c r="J490" s="112"/>
      <c r="T490" s="112"/>
      <c r="AC490" s="112"/>
    </row>
    <row r="491">
      <c r="A491" s="112"/>
      <c r="B491" s="124"/>
      <c r="J491" s="112"/>
      <c r="T491" s="112"/>
      <c r="AC491" s="112"/>
    </row>
    <row r="492">
      <c r="A492" s="112"/>
      <c r="B492" s="124"/>
      <c r="J492" s="112"/>
      <c r="T492" s="112"/>
      <c r="AC492" s="112"/>
    </row>
    <row r="493">
      <c r="A493" s="112"/>
      <c r="B493" s="124"/>
      <c r="J493" s="112"/>
      <c r="T493" s="112"/>
      <c r="AC493" s="112"/>
    </row>
    <row r="494">
      <c r="A494" s="112"/>
      <c r="B494" s="124"/>
      <c r="J494" s="112"/>
      <c r="T494" s="112"/>
      <c r="AC494" s="112"/>
    </row>
    <row r="495">
      <c r="A495" s="112"/>
      <c r="B495" s="124"/>
      <c r="J495" s="112"/>
      <c r="T495" s="112"/>
      <c r="AC495" s="112"/>
    </row>
    <row r="496">
      <c r="A496" s="112"/>
      <c r="B496" s="124"/>
      <c r="J496" s="112"/>
      <c r="T496" s="112"/>
      <c r="AC496" s="112"/>
    </row>
    <row r="497">
      <c r="A497" s="112"/>
      <c r="B497" s="124"/>
      <c r="J497" s="112"/>
      <c r="T497" s="112"/>
      <c r="AC497" s="112"/>
    </row>
    <row r="498">
      <c r="A498" s="112"/>
      <c r="B498" s="124"/>
      <c r="J498" s="112"/>
      <c r="T498" s="112"/>
      <c r="AC498" s="112"/>
    </row>
    <row r="499">
      <c r="A499" s="112"/>
      <c r="B499" s="124"/>
      <c r="J499" s="112"/>
      <c r="T499" s="112"/>
      <c r="AC499" s="112"/>
    </row>
    <row r="500">
      <c r="A500" s="112"/>
      <c r="B500" s="124"/>
      <c r="J500" s="112"/>
      <c r="T500" s="112"/>
      <c r="AC500" s="112"/>
    </row>
    <row r="501">
      <c r="A501" s="112"/>
      <c r="B501" s="124"/>
      <c r="J501" s="112"/>
      <c r="T501" s="112"/>
      <c r="AC501" s="112"/>
    </row>
    <row r="502">
      <c r="A502" s="112"/>
      <c r="B502" s="124"/>
      <c r="J502" s="112"/>
      <c r="T502" s="112"/>
      <c r="AC502" s="112"/>
    </row>
    <row r="503">
      <c r="A503" s="112"/>
      <c r="B503" s="124"/>
      <c r="J503" s="112"/>
      <c r="T503" s="112"/>
      <c r="AC503" s="112"/>
    </row>
    <row r="504">
      <c r="A504" s="112"/>
      <c r="B504" s="124"/>
      <c r="J504" s="112"/>
      <c r="T504" s="112"/>
      <c r="AC504" s="112"/>
    </row>
    <row r="505">
      <c r="A505" s="112"/>
      <c r="B505" s="124"/>
      <c r="J505" s="112"/>
      <c r="T505" s="112"/>
      <c r="AC505" s="112"/>
    </row>
    <row r="506">
      <c r="A506" s="112"/>
      <c r="B506" s="124"/>
      <c r="J506" s="112"/>
      <c r="T506" s="112"/>
      <c r="AC506" s="112"/>
    </row>
    <row r="507">
      <c r="A507" s="112"/>
      <c r="B507" s="124"/>
      <c r="J507" s="112"/>
      <c r="T507" s="112"/>
      <c r="AC507" s="112"/>
    </row>
    <row r="508">
      <c r="A508" s="112"/>
      <c r="B508" s="124"/>
      <c r="J508" s="112"/>
      <c r="T508" s="112"/>
      <c r="AC508" s="112"/>
    </row>
    <row r="509">
      <c r="A509" s="112"/>
      <c r="B509" s="124"/>
      <c r="J509" s="112"/>
      <c r="T509" s="112"/>
      <c r="AC509" s="112"/>
    </row>
    <row r="510">
      <c r="A510" s="112"/>
      <c r="B510" s="124"/>
      <c r="J510" s="112"/>
      <c r="T510" s="112"/>
      <c r="AC510" s="112"/>
    </row>
    <row r="511">
      <c r="A511" s="112"/>
      <c r="B511" s="124"/>
      <c r="J511" s="112"/>
      <c r="T511" s="112"/>
      <c r="AC511" s="112"/>
    </row>
    <row r="512">
      <c r="A512" s="112"/>
      <c r="B512" s="124"/>
      <c r="J512" s="112"/>
      <c r="T512" s="112"/>
      <c r="AC512" s="112"/>
    </row>
    <row r="513">
      <c r="A513" s="112"/>
      <c r="B513" s="124"/>
      <c r="J513" s="112"/>
      <c r="T513" s="112"/>
      <c r="AC513" s="112"/>
    </row>
    <row r="514">
      <c r="A514" s="112"/>
      <c r="B514" s="124"/>
      <c r="J514" s="112"/>
      <c r="T514" s="112"/>
      <c r="AC514" s="112"/>
    </row>
    <row r="515">
      <c r="A515" s="112"/>
      <c r="B515" s="124"/>
      <c r="J515" s="112"/>
      <c r="T515" s="112"/>
      <c r="AC515" s="112"/>
    </row>
    <row r="516">
      <c r="A516" s="112"/>
      <c r="B516" s="124"/>
      <c r="J516" s="112"/>
      <c r="T516" s="112"/>
      <c r="AC516" s="112"/>
    </row>
    <row r="517">
      <c r="A517" s="112"/>
      <c r="B517" s="124"/>
      <c r="J517" s="112"/>
      <c r="T517" s="112"/>
      <c r="AC517" s="112"/>
    </row>
    <row r="518">
      <c r="A518" s="112"/>
      <c r="B518" s="124"/>
      <c r="J518" s="112"/>
      <c r="T518" s="112"/>
      <c r="AC518" s="112"/>
    </row>
    <row r="519">
      <c r="A519" s="112"/>
      <c r="B519" s="124"/>
      <c r="J519" s="112"/>
      <c r="T519" s="112"/>
      <c r="AC519" s="112"/>
    </row>
    <row r="520">
      <c r="A520" s="112"/>
      <c r="B520" s="124"/>
      <c r="J520" s="112"/>
      <c r="T520" s="112"/>
      <c r="AC520" s="112"/>
    </row>
    <row r="521">
      <c r="A521" s="112"/>
      <c r="B521" s="124"/>
      <c r="J521" s="112"/>
      <c r="T521" s="112"/>
      <c r="AC521" s="112"/>
    </row>
    <row r="522">
      <c r="A522" s="112"/>
      <c r="B522" s="124"/>
      <c r="J522" s="112"/>
      <c r="T522" s="112"/>
      <c r="AC522" s="112"/>
    </row>
    <row r="523">
      <c r="A523" s="112"/>
      <c r="B523" s="124"/>
      <c r="J523" s="112"/>
      <c r="T523" s="112"/>
      <c r="AC523" s="112"/>
    </row>
    <row r="524">
      <c r="A524" s="112"/>
      <c r="B524" s="124"/>
      <c r="J524" s="112"/>
      <c r="T524" s="112"/>
      <c r="AC524" s="112"/>
    </row>
    <row r="525">
      <c r="A525" s="112"/>
      <c r="B525" s="124"/>
      <c r="J525" s="112"/>
      <c r="T525" s="112"/>
      <c r="AC525" s="112"/>
    </row>
    <row r="526">
      <c r="A526" s="112"/>
      <c r="B526" s="124"/>
      <c r="J526" s="112"/>
      <c r="T526" s="112"/>
      <c r="AC526" s="112"/>
    </row>
    <row r="527">
      <c r="A527" s="112"/>
      <c r="B527" s="124"/>
      <c r="J527" s="112"/>
      <c r="T527" s="112"/>
      <c r="AC527" s="112"/>
    </row>
    <row r="528">
      <c r="A528" s="112"/>
      <c r="B528" s="124"/>
      <c r="J528" s="112"/>
      <c r="T528" s="112"/>
      <c r="AC528" s="112"/>
    </row>
    <row r="529">
      <c r="A529" s="112"/>
      <c r="B529" s="124"/>
      <c r="J529" s="112"/>
      <c r="T529" s="112"/>
      <c r="AC529" s="112"/>
    </row>
    <row r="530">
      <c r="A530" s="112"/>
      <c r="B530" s="124"/>
      <c r="J530" s="112"/>
      <c r="T530" s="112"/>
      <c r="AC530" s="112"/>
    </row>
    <row r="531">
      <c r="A531" s="112"/>
      <c r="B531" s="124"/>
      <c r="J531" s="112"/>
      <c r="T531" s="112"/>
      <c r="AC531" s="112"/>
    </row>
    <row r="532">
      <c r="A532" s="112"/>
      <c r="B532" s="124"/>
      <c r="J532" s="112"/>
      <c r="T532" s="112"/>
      <c r="AC532" s="112"/>
    </row>
    <row r="533">
      <c r="A533" s="112"/>
      <c r="B533" s="124"/>
      <c r="J533" s="112"/>
      <c r="T533" s="112"/>
      <c r="AC533" s="112"/>
    </row>
    <row r="534">
      <c r="A534" s="112"/>
      <c r="B534" s="124"/>
      <c r="J534" s="112"/>
      <c r="T534" s="112"/>
      <c r="AC534" s="112"/>
    </row>
    <row r="535">
      <c r="A535" s="112"/>
      <c r="B535" s="124"/>
      <c r="J535" s="112"/>
      <c r="T535" s="112"/>
      <c r="AC535" s="112"/>
    </row>
    <row r="536">
      <c r="A536" s="112"/>
      <c r="B536" s="124"/>
      <c r="J536" s="112"/>
      <c r="T536" s="112"/>
      <c r="AC536" s="112"/>
    </row>
    <row r="537">
      <c r="A537" s="112"/>
      <c r="B537" s="124"/>
      <c r="J537" s="112"/>
      <c r="T537" s="112"/>
      <c r="AC537" s="112"/>
    </row>
    <row r="538">
      <c r="A538" s="112"/>
      <c r="B538" s="124"/>
      <c r="J538" s="112"/>
      <c r="T538" s="112"/>
      <c r="AC538" s="112"/>
    </row>
    <row r="539">
      <c r="A539" s="112"/>
      <c r="B539" s="124"/>
      <c r="J539" s="112"/>
      <c r="T539" s="112"/>
      <c r="AC539" s="112"/>
    </row>
    <row r="540">
      <c r="A540" s="112"/>
      <c r="B540" s="124"/>
      <c r="J540" s="112"/>
      <c r="T540" s="112"/>
      <c r="AC540" s="112"/>
    </row>
    <row r="541">
      <c r="A541" s="112"/>
      <c r="B541" s="124"/>
      <c r="J541" s="112"/>
      <c r="T541" s="112"/>
      <c r="AC541" s="112"/>
    </row>
    <row r="542">
      <c r="A542" s="112"/>
      <c r="B542" s="124"/>
      <c r="J542" s="112"/>
      <c r="T542" s="112"/>
      <c r="AC542" s="112"/>
    </row>
    <row r="543">
      <c r="A543" s="112"/>
      <c r="B543" s="124"/>
      <c r="J543" s="112"/>
      <c r="T543" s="112"/>
      <c r="AC543" s="112"/>
    </row>
    <row r="544">
      <c r="A544" s="112"/>
      <c r="B544" s="124"/>
      <c r="J544" s="112"/>
      <c r="T544" s="112"/>
      <c r="AC544" s="112"/>
    </row>
    <row r="545">
      <c r="A545" s="112"/>
      <c r="B545" s="124"/>
      <c r="J545" s="112"/>
      <c r="T545" s="112"/>
      <c r="AC545" s="112"/>
    </row>
    <row r="546">
      <c r="A546" s="112"/>
      <c r="B546" s="124"/>
      <c r="J546" s="112"/>
      <c r="T546" s="112"/>
      <c r="AC546" s="112"/>
    </row>
    <row r="547">
      <c r="A547" s="112"/>
      <c r="B547" s="124"/>
      <c r="J547" s="112"/>
      <c r="T547" s="112"/>
      <c r="AC547" s="112"/>
    </row>
    <row r="548">
      <c r="A548" s="112"/>
      <c r="B548" s="124"/>
      <c r="J548" s="112"/>
      <c r="T548" s="112"/>
      <c r="AC548" s="112"/>
    </row>
    <row r="549">
      <c r="A549" s="112"/>
      <c r="B549" s="124"/>
      <c r="J549" s="112"/>
      <c r="T549" s="112"/>
      <c r="AC549" s="112"/>
    </row>
    <row r="550">
      <c r="A550" s="112"/>
      <c r="B550" s="124"/>
      <c r="J550" s="112"/>
      <c r="T550" s="112"/>
      <c r="AC550" s="112"/>
    </row>
    <row r="551">
      <c r="A551" s="112"/>
      <c r="B551" s="124"/>
      <c r="J551" s="112"/>
      <c r="T551" s="112"/>
      <c r="AC551" s="112"/>
    </row>
    <row r="552">
      <c r="A552" s="112"/>
      <c r="B552" s="124"/>
      <c r="J552" s="112"/>
      <c r="T552" s="112"/>
      <c r="AC552" s="112"/>
    </row>
    <row r="553">
      <c r="A553" s="112"/>
      <c r="B553" s="124"/>
      <c r="J553" s="112"/>
      <c r="T553" s="112"/>
      <c r="AC553" s="112"/>
    </row>
    <row r="554">
      <c r="A554" s="112"/>
      <c r="B554" s="124"/>
      <c r="J554" s="112"/>
      <c r="T554" s="112"/>
      <c r="AC554" s="112"/>
    </row>
    <row r="555">
      <c r="A555" s="112"/>
      <c r="B555" s="124"/>
      <c r="J555" s="112"/>
      <c r="T555" s="112"/>
      <c r="AC555" s="112"/>
    </row>
    <row r="556">
      <c r="A556" s="112"/>
      <c r="B556" s="124"/>
      <c r="J556" s="112"/>
      <c r="T556" s="112"/>
      <c r="AC556" s="112"/>
    </row>
    <row r="557">
      <c r="A557" s="112"/>
      <c r="B557" s="124"/>
      <c r="J557" s="112"/>
      <c r="T557" s="112"/>
      <c r="AC557" s="112"/>
    </row>
    <row r="558">
      <c r="A558" s="112"/>
      <c r="B558" s="124"/>
      <c r="J558" s="112"/>
      <c r="T558" s="112"/>
      <c r="AC558" s="112"/>
    </row>
    <row r="559">
      <c r="A559" s="112"/>
      <c r="B559" s="124"/>
      <c r="J559" s="112"/>
      <c r="T559" s="112"/>
      <c r="AC559" s="112"/>
    </row>
    <row r="560">
      <c r="A560" s="112"/>
      <c r="B560" s="124"/>
      <c r="J560" s="112"/>
      <c r="T560" s="112"/>
      <c r="AC560" s="112"/>
    </row>
    <row r="561">
      <c r="A561" s="112"/>
      <c r="B561" s="124"/>
      <c r="J561" s="112"/>
      <c r="T561" s="112"/>
      <c r="AC561" s="112"/>
    </row>
    <row r="562">
      <c r="A562" s="112"/>
      <c r="B562" s="124"/>
      <c r="J562" s="112"/>
      <c r="T562" s="112"/>
      <c r="AC562" s="112"/>
    </row>
    <row r="563">
      <c r="A563" s="112"/>
      <c r="B563" s="124"/>
      <c r="J563" s="112"/>
      <c r="T563" s="112"/>
      <c r="AC563" s="112"/>
    </row>
    <row r="564">
      <c r="A564" s="112"/>
      <c r="B564" s="124"/>
      <c r="J564" s="112"/>
      <c r="T564" s="112"/>
      <c r="AC564" s="112"/>
    </row>
    <row r="565">
      <c r="A565" s="112"/>
      <c r="B565" s="124"/>
      <c r="J565" s="112"/>
      <c r="T565" s="112"/>
      <c r="AC565" s="112"/>
    </row>
    <row r="566">
      <c r="A566" s="112"/>
      <c r="B566" s="124"/>
      <c r="J566" s="112"/>
      <c r="T566" s="112"/>
      <c r="AC566" s="112"/>
    </row>
    <row r="567">
      <c r="A567" s="112"/>
      <c r="B567" s="124"/>
      <c r="J567" s="112"/>
      <c r="T567" s="112"/>
      <c r="AC567" s="112"/>
    </row>
    <row r="568">
      <c r="A568" s="112"/>
      <c r="B568" s="124"/>
      <c r="J568" s="112"/>
      <c r="T568" s="112"/>
      <c r="AC568" s="112"/>
    </row>
    <row r="569">
      <c r="A569" s="112"/>
      <c r="B569" s="124"/>
      <c r="J569" s="112"/>
      <c r="T569" s="112"/>
      <c r="AC569" s="112"/>
    </row>
    <row r="570">
      <c r="A570" s="112"/>
      <c r="B570" s="124"/>
      <c r="J570" s="112"/>
      <c r="T570" s="112"/>
      <c r="AC570" s="112"/>
    </row>
    <row r="571">
      <c r="A571" s="112"/>
      <c r="B571" s="124"/>
      <c r="J571" s="112"/>
      <c r="T571" s="112"/>
      <c r="AC571" s="112"/>
    </row>
    <row r="572">
      <c r="A572" s="112"/>
      <c r="B572" s="124"/>
      <c r="J572" s="112"/>
      <c r="T572" s="112"/>
      <c r="AC572" s="112"/>
    </row>
    <row r="573">
      <c r="A573" s="112"/>
      <c r="B573" s="124"/>
      <c r="J573" s="112"/>
      <c r="T573" s="112"/>
      <c r="AC573" s="112"/>
    </row>
    <row r="574">
      <c r="A574" s="112"/>
      <c r="B574" s="124"/>
      <c r="J574" s="112"/>
      <c r="T574" s="112"/>
      <c r="AC574" s="112"/>
    </row>
    <row r="575">
      <c r="A575" s="112"/>
      <c r="B575" s="124"/>
      <c r="J575" s="112"/>
      <c r="T575" s="112"/>
      <c r="AC575" s="112"/>
    </row>
    <row r="576">
      <c r="A576" s="112"/>
      <c r="B576" s="124"/>
      <c r="J576" s="112"/>
      <c r="T576" s="112"/>
      <c r="AC576" s="112"/>
    </row>
    <row r="577">
      <c r="A577" s="112"/>
      <c r="B577" s="124"/>
      <c r="J577" s="112"/>
      <c r="T577" s="112"/>
      <c r="AC577" s="112"/>
    </row>
    <row r="578">
      <c r="A578" s="112"/>
      <c r="B578" s="124"/>
      <c r="J578" s="112"/>
      <c r="T578" s="112"/>
      <c r="AC578" s="112"/>
    </row>
    <row r="579">
      <c r="A579" s="112"/>
      <c r="B579" s="124"/>
      <c r="J579" s="112"/>
      <c r="T579" s="112"/>
      <c r="AC579" s="112"/>
    </row>
    <row r="580">
      <c r="A580" s="112"/>
      <c r="B580" s="124"/>
      <c r="J580" s="112"/>
      <c r="T580" s="112"/>
      <c r="AC580" s="112"/>
    </row>
    <row r="581">
      <c r="A581" s="112"/>
      <c r="B581" s="124"/>
      <c r="J581" s="112"/>
      <c r="T581" s="112"/>
      <c r="AC581" s="112"/>
    </row>
    <row r="582">
      <c r="A582" s="112"/>
      <c r="B582" s="124"/>
      <c r="J582" s="112"/>
      <c r="T582" s="112"/>
      <c r="AC582" s="112"/>
    </row>
    <row r="583">
      <c r="A583" s="112"/>
      <c r="B583" s="124"/>
      <c r="J583" s="112"/>
      <c r="T583" s="112"/>
      <c r="AC583" s="112"/>
    </row>
    <row r="584">
      <c r="A584" s="112"/>
      <c r="B584" s="124"/>
      <c r="J584" s="112"/>
      <c r="T584" s="112"/>
      <c r="AC584" s="112"/>
    </row>
    <row r="585">
      <c r="A585" s="112"/>
      <c r="B585" s="124"/>
      <c r="J585" s="112"/>
      <c r="T585" s="112"/>
      <c r="AC585" s="112"/>
    </row>
    <row r="586">
      <c r="A586" s="112"/>
      <c r="B586" s="124"/>
      <c r="J586" s="112"/>
      <c r="T586" s="112"/>
      <c r="AC586" s="112"/>
    </row>
    <row r="587">
      <c r="A587" s="112"/>
      <c r="B587" s="124"/>
      <c r="J587" s="112"/>
      <c r="T587" s="112"/>
      <c r="AC587" s="112"/>
    </row>
    <row r="588">
      <c r="A588" s="112"/>
      <c r="B588" s="124"/>
      <c r="J588" s="112"/>
      <c r="T588" s="112"/>
      <c r="AC588" s="112"/>
    </row>
    <row r="589">
      <c r="A589" s="112"/>
      <c r="B589" s="124"/>
      <c r="J589" s="112"/>
      <c r="T589" s="112"/>
      <c r="AC589" s="112"/>
    </row>
    <row r="590">
      <c r="A590" s="112"/>
      <c r="B590" s="124"/>
      <c r="J590" s="112"/>
      <c r="T590" s="112"/>
      <c r="AC590" s="112"/>
    </row>
    <row r="591">
      <c r="A591" s="112"/>
      <c r="B591" s="124"/>
      <c r="J591" s="112"/>
      <c r="T591" s="112"/>
      <c r="AC591" s="112"/>
    </row>
    <row r="592">
      <c r="A592" s="112"/>
      <c r="B592" s="124"/>
      <c r="J592" s="112"/>
      <c r="T592" s="112"/>
      <c r="AC592" s="112"/>
    </row>
    <row r="593">
      <c r="A593" s="112"/>
      <c r="B593" s="124"/>
      <c r="J593" s="112"/>
      <c r="T593" s="112"/>
      <c r="AC593" s="112"/>
    </row>
    <row r="594">
      <c r="A594" s="112"/>
      <c r="B594" s="124"/>
      <c r="J594" s="112"/>
      <c r="T594" s="112"/>
      <c r="AC594" s="112"/>
    </row>
    <row r="595">
      <c r="A595" s="112"/>
      <c r="B595" s="124"/>
      <c r="J595" s="112"/>
      <c r="T595" s="112"/>
      <c r="AC595" s="112"/>
    </row>
    <row r="596">
      <c r="A596" s="112"/>
      <c r="B596" s="124"/>
      <c r="J596" s="112"/>
      <c r="T596" s="112"/>
      <c r="AC596" s="112"/>
    </row>
    <row r="597">
      <c r="A597" s="112"/>
      <c r="B597" s="124"/>
      <c r="J597" s="112"/>
      <c r="T597" s="112"/>
      <c r="AC597" s="112"/>
    </row>
    <row r="598">
      <c r="A598" s="112"/>
      <c r="B598" s="124"/>
      <c r="J598" s="112"/>
      <c r="T598" s="112"/>
      <c r="AC598" s="112"/>
    </row>
    <row r="599">
      <c r="A599" s="112"/>
      <c r="B599" s="124"/>
      <c r="J599" s="112"/>
      <c r="T599" s="112"/>
      <c r="AC599" s="112"/>
    </row>
    <row r="600">
      <c r="A600" s="112"/>
      <c r="B600" s="124"/>
      <c r="J600" s="112"/>
      <c r="T600" s="112"/>
      <c r="AC600" s="112"/>
    </row>
    <row r="601">
      <c r="A601" s="112"/>
      <c r="B601" s="124"/>
      <c r="J601" s="112"/>
      <c r="T601" s="112"/>
      <c r="AC601" s="112"/>
    </row>
    <row r="602">
      <c r="A602" s="112"/>
      <c r="B602" s="124"/>
      <c r="J602" s="112"/>
      <c r="T602" s="112"/>
      <c r="AC602" s="112"/>
    </row>
    <row r="603">
      <c r="A603" s="112"/>
      <c r="B603" s="124"/>
      <c r="J603" s="112"/>
      <c r="T603" s="112"/>
      <c r="AC603" s="112"/>
    </row>
    <row r="604">
      <c r="A604" s="112"/>
      <c r="B604" s="124"/>
      <c r="J604" s="112"/>
      <c r="T604" s="112"/>
      <c r="AC604" s="112"/>
    </row>
    <row r="605">
      <c r="A605" s="112"/>
      <c r="B605" s="124"/>
      <c r="J605" s="112"/>
      <c r="T605" s="112"/>
      <c r="AC605" s="112"/>
    </row>
    <row r="606">
      <c r="A606" s="112"/>
      <c r="B606" s="124"/>
      <c r="J606" s="112"/>
      <c r="T606" s="112"/>
      <c r="AC606" s="112"/>
    </row>
    <row r="607">
      <c r="A607" s="112"/>
      <c r="B607" s="124"/>
      <c r="J607" s="112"/>
      <c r="T607" s="112"/>
      <c r="AC607" s="112"/>
    </row>
    <row r="608">
      <c r="A608" s="112"/>
      <c r="B608" s="124"/>
      <c r="J608" s="112"/>
      <c r="T608" s="112"/>
      <c r="AC608" s="112"/>
    </row>
    <row r="609">
      <c r="A609" s="112"/>
      <c r="B609" s="124"/>
      <c r="J609" s="112"/>
      <c r="T609" s="112"/>
      <c r="AC609" s="112"/>
    </row>
    <row r="610">
      <c r="A610" s="112"/>
      <c r="B610" s="124"/>
      <c r="J610" s="112"/>
      <c r="T610" s="112"/>
      <c r="AC610" s="112"/>
    </row>
    <row r="611">
      <c r="A611" s="112"/>
      <c r="B611" s="124"/>
      <c r="J611" s="112"/>
      <c r="T611" s="112"/>
      <c r="AC611" s="112"/>
    </row>
    <row r="612">
      <c r="A612" s="112"/>
      <c r="B612" s="124"/>
      <c r="J612" s="112"/>
      <c r="T612" s="112"/>
      <c r="AC612" s="112"/>
    </row>
    <row r="613">
      <c r="A613" s="112"/>
      <c r="B613" s="124"/>
      <c r="J613" s="112"/>
      <c r="T613" s="112"/>
      <c r="AC613" s="112"/>
    </row>
    <row r="614">
      <c r="A614" s="112"/>
      <c r="B614" s="124"/>
      <c r="J614" s="112"/>
      <c r="T614" s="112"/>
      <c r="AC614" s="112"/>
    </row>
    <row r="615">
      <c r="A615" s="112"/>
      <c r="B615" s="124"/>
      <c r="J615" s="112"/>
      <c r="T615" s="112"/>
      <c r="AC615" s="112"/>
    </row>
    <row r="616">
      <c r="A616" s="112"/>
      <c r="B616" s="124"/>
      <c r="J616" s="112"/>
      <c r="T616" s="112"/>
      <c r="AC616" s="112"/>
    </row>
    <row r="617">
      <c r="A617" s="112"/>
      <c r="B617" s="124"/>
      <c r="J617" s="112"/>
      <c r="T617" s="112"/>
      <c r="AC617" s="112"/>
    </row>
    <row r="618">
      <c r="A618" s="112"/>
      <c r="B618" s="124"/>
      <c r="J618" s="112"/>
      <c r="T618" s="112"/>
      <c r="AC618" s="112"/>
    </row>
    <row r="619">
      <c r="A619" s="112"/>
      <c r="B619" s="124"/>
      <c r="J619" s="112"/>
      <c r="T619" s="112"/>
      <c r="AC619" s="112"/>
    </row>
    <row r="620">
      <c r="A620" s="112"/>
      <c r="B620" s="124"/>
      <c r="J620" s="112"/>
      <c r="T620" s="112"/>
      <c r="AC620" s="112"/>
    </row>
    <row r="621">
      <c r="A621" s="112"/>
      <c r="B621" s="124"/>
      <c r="J621" s="112"/>
      <c r="T621" s="112"/>
      <c r="AC621" s="112"/>
    </row>
    <row r="622">
      <c r="A622" s="112"/>
      <c r="B622" s="124"/>
      <c r="J622" s="112"/>
      <c r="T622" s="112"/>
      <c r="AC622" s="112"/>
    </row>
    <row r="623">
      <c r="A623" s="112"/>
      <c r="B623" s="124"/>
      <c r="J623" s="112"/>
      <c r="T623" s="112"/>
      <c r="AC623" s="112"/>
    </row>
    <row r="624">
      <c r="A624" s="112"/>
      <c r="B624" s="124"/>
      <c r="J624" s="112"/>
      <c r="T624" s="112"/>
      <c r="AC624" s="112"/>
    </row>
    <row r="625">
      <c r="A625" s="112"/>
      <c r="B625" s="124"/>
      <c r="J625" s="112"/>
      <c r="T625" s="112"/>
      <c r="AC625" s="112"/>
    </row>
    <row r="626">
      <c r="A626" s="112"/>
      <c r="B626" s="124"/>
      <c r="J626" s="112"/>
      <c r="T626" s="112"/>
      <c r="AC626" s="112"/>
    </row>
    <row r="627">
      <c r="A627" s="112"/>
      <c r="B627" s="124"/>
      <c r="J627" s="112"/>
      <c r="T627" s="112"/>
      <c r="AC627" s="112"/>
    </row>
    <row r="628">
      <c r="A628" s="112"/>
      <c r="B628" s="124"/>
      <c r="J628" s="112"/>
      <c r="T628" s="112"/>
      <c r="AC628" s="112"/>
    </row>
    <row r="629">
      <c r="A629" s="112"/>
      <c r="B629" s="124"/>
      <c r="J629" s="112"/>
      <c r="T629" s="112"/>
      <c r="AC629" s="112"/>
    </row>
    <row r="630">
      <c r="A630" s="112"/>
      <c r="B630" s="124"/>
      <c r="J630" s="112"/>
      <c r="T630" s="112"/>
      <c r="AC630" s="112"/>
    </row>
    <row r="631">
      <c r="A631" s="112"/>
      <c r="B631" s="124"/>
      <c r="J631" s="112"/>
      <c r="T631" s="112"/>
      <c r="AC631" s="112"/>
    </row>
    <row r="632">
      <c r="A632" s="112"/>
      <c r="B632" s="124"/>
      <c r="J632" s="112"/>
      <c r="T632" s="112"/>
      <c r="AC632" s="112"/>
    </row>
    <row r="633">
      <c r="A633" s="112"/>
      <c r="B633" s="124"/>
      <c r="J633" s="112"/>
      <c r="T633" s="112"/>
      <c r="AC633" s="112"/>
    </row>
    <row r="634">
      <c r="A634" s="112"/>
      <c r="B634" s="124"/>
      <c r="J634" s="112"/>
      <c r="T634" s="112"/>
      <c r="AC634" s="112"/>
    </row>
    <row r="635">
      <c r="A635" s="112"/>
      <c r="B635" s="124"/>
      <c r="J635" s="112"/>
      <c r="T635" s="112"/>
      <c r="AC635" s="112"/>
    </row>
    <row r="636">
      <c r="A636" s="112"/>
      <c r="B636" s="124"/>
      <c r="J636" s="112"/>
      <c r="T636" s="112"/>
      <c r="AC636" s="112"/>
    </row>
    <row r="637">
      <c r="A637" s="112"/>
      <c r="B637" s="124"/>
      <c r="J637" s="112"/>
      <c r="T637" s="112"/>
      <c r="AC637" s="112"/>
    </row>
    <row r="638">
      <c r="A638" s="112"/>
      <c r="B638" s="124"/>
      <c r="J638" s="112"/>
      <c r="T638" s="112"/>
      <c r="AC638" s="112"/>
    </row>
    <row r="639">
      <c r="A639" s="112"/>
      <c r="B639" s="124"/>
      <c r="J639" s="112"/>
      <c r="T639" s="112"/>
      <c r="AC639" s="112"/>
    </row>
    <row r="640">
      <c r="A640" s="112"/>
      <c r="B640" s="124"/>
      <c r="J640" s="112"/>
      <c r="T640" s="112"/>
      <c r="AC640" s="112"/>
    </row>
    <row r="641">
      <c r="A641" s="112"/>
      <c r="B641" s="124"/>
      <c r="J641" s="112"/>
      <c r="T641" s="112"/>
      <c r="AC641" s="112"/>
    </row>
    <row r="642">
      <c r="A642" s="112"/>
      <c r="B642" s="124"/>
      <c r="J642" s="112"/>
      <c r="T642" s="112"/>
      <c r="AC642" s="112"/>
    </row>
    <row r="643">
      <c r="A643" s="112"/>
      <c r="B643" s="124"/>
      <c r="J643" s="112"/>
      <c r="T643" s="112"/>
      <c r="AC643" s="112"/>
    </row>
    <row r="644">
      <c r="A644" s="112"/>
      <c r="B644" s="124"/>
      <c r="J644" s="112"/>
      <c r="T644" s="112"/>
      <c r="AC644" s="112"/>
    </row>
    <row r="645">
      <c r="A645" s="112"/>
      <c r="B645" s="124"/>
      <c r="J645" s="112"/>
      <c r="T645" s="112"/>
      <c r="AC645" s="112"/>
    </row>
    <row r="646">
      <c r="A646" s="112"/>
      <c r="B646" s="124"/>
      <c r="J646" s="112"/>
      <c r="T646" s="112"/>
      <c r="AC646" s="112"/>
    </row>
    <row r="647">
      <c r="A647" s="112"/>
      <c r="B647" s="124"/>
      <c r="J647" s="112"/>
      <c r="T647" s="112"/>
      <c r="AC647" s="112"/>
    </row>
    <row r="648">
      <c r="A648" s="112"/>
      <c r="B648" s="124"/>
      <c r="J648" s="112"/>
      <c r="T648" s="112"/>
      <c r="AC648" s="112"/>
    </row>
    <row r="649">
      <c r="A649" s="112"/>
      <c r="B649" s="124"/>
      <c r="J649" s="112"/>
      <c r="T649" s="112"/>
      <c r="AC649" s="112"/>
    </row>
    <row r="650">
      <c r="A650" s="112"/>
      <c r="B650" s="124"/>
      <c r="J650" s="112"/>
      <c r="T650" s="112"/>
      <c r="AC650" s="112"/>
    </row>
    <row r="651">
      <c r="A651" s="112"/>
      <c r="B651" s="124"/>
      <c r="J651" s="112"/>
      <c r="T651" s="112"/>
      <c r="AC651" s="112"/>
    </row>
    <row r="652">
      <c r="A652" s="112"/>
      <c r="B652" s="124"/>
      <c r="J652" s="112"/>
      <c r="T652" s="112"/>
      <c r="AC652" s="112"/>
    </row>
    <row r="653">
      <c r="A653" s="112"/>
      <c r="B653" s="124"/>
      <c r="J653" s="112"/>
      <c r="T653" s="112"/>
      <c r="AC653" s="112"/>
    </row>
    <row r="654">
      <c r="A654" s="112"/>
      <c r="B654" s="124"/>
      <c r="J654" s="112"/>
      <c r="T654" s="112"/>
      <c r="AC654" s="112"/>
    </row>
    <row r="655">
      <c r="A655" s="112"/>
      <c r="B655" s="124"/>
      <c r="J655" s="112"/>
      <c r="T655" s="112"/>
      <c r="AC655" s="112"/>
    </row>
    <row r="656">
      <c r="A656" s="112"/>
      <c r="B656" s="124"/>
      <c r="J656" s="112"/>
      <c r="T656" s="112"/>
      <c r="AC656" s="112"/>
    </row>
    <row r="657">
      <c r="A657" s="112"/>
      <c r="B657" s="124"/>
      <c r="J657" s="112"/>
      <c r="T657" s="112"/>
      <c r="AC657" s="112"/>
    </row>
    <row r="658">
      <c r="A658" s="112"/>
      <c r="B658" s="124"/>
      <c r="J658" s="112"/>
      <c r="T658" s="112"/>
      <c r="AC658" s="112"/>
    </row>
    <row r="659">
      <c r="A659" s="112"/>
      <c r="B659" s="124"/>
      <c r="J659" s="112"/>
      <c r="T659" s="112"/>
      <c r="AC659" s="112"/>
    </row>
    <row r="660">
      <c r="A660" s="112"/>
      <c r="B660" s="124"/>
      <c r="J660" s="112"/>
      <c r="T660" s="112"/>
      <c r="AC660" s="112"/>
    </row>
    <row r="661">
      <c r="A661" s="112"/>
      <c r="B661" s="124"/>
      <c r="J661" s="112"/>
      <c r="T661" s="112"/>
      <c r="AC661" s="112"/>
    </row>
    <row r="662">
      <c r="A662" s="112"/>
      <c r="B662" s="124"/>
      <c r="J662" s="112"/>
      <c r="T662" s="112"/>
      <c r="AC662" s="112"/>
    </row>
    <row r="663">
      <c r="A663" s="112"/>
      <c r="B663" s="124"/>
      <c r="J663" s="112"/>
      <c r="T663" s="112"/>
      <c r="AC663" s="112"/>
    </row>
    <row r="664">
      <c r="A664" s="112"/>
      <c r="B664" s="124"/>
      <c r="J664" s="112"/>
      <c r="T664" s="112"/>
      <c r="AC664" s="112"/>
    </row>
    <row r="665">
      <c r="A665" s="112"/>
      <c r="B665" s="124"/>
      <c r="J665" s="112"/>
      <c r="T665" s="112"/>
      <c r="AC665" s="112"/>
    </row>
    <row r="666">
      <c r="A666" s="112"/>
      <c r="B666" s="124"/>
      <c r="J666" s="112"/>
      <c r="T666" s="112"/>
      <c r="AC666" s="112"/>
    </row>
    <row r="667">
      <c r="A667" s="112"/>
      <c r="B667" s="124"/>
      <c r="J667" s="112"/>
      <c r="T667" s="112"/>
      <c r="AC667" s="112"/>
    </row>
    <row r="668">
      <c r="A668" s="112"/>
      <c r="B668" s="124"/>
      <c r="J668" s="112"/>
      <c r="T668" s="112"/>
      <c r="AC668" s="112"/>
    </row>
    <row r="669">
      <c r="A669" s="112"/>
      <c r="B669" s="124"/>
      <c r="J669" s="112"/>
      <c r="T669" s="112"/>
      <c r="AC669" s="112"/>
    </row>
    <row r="670">
      <c r="A670" s="112"/>
      <c r="B670" s="124"/>
      <c r="J670" s="112"/>
      <c r="T670" s="112"/>
      <c r="AC670" s="112"/>
    </row>
    <row r="671">
      <c r="A671" s="112"/>
      <c r="B671" s="124"/>
      <c r="J671" s="112"/>
      <c r="T671" s="112"/>
      <c r="AC671" s="112"/>
    </row>
    <row r="672">
      <c r="A672" s="112"/>
      <c r="B672" s="124"/>
      <c r="J672" s="112"/>
      <c r="T672" s="112"/>
      <c r="AC672" s="112"/>
    </row>
    <row r="673">
      <c r="A673" s="112"/>
      <c r="B673" s="124"/>
      <c r="J673" s="112"/>
      <c r="T673" s="112"/>
      <c r="AC673" s="112"/>
    </row>
    <row r="674">
      <c r="A674" s="112"/>
      <c r="B674" s="124"/>
      <c r="J674" s="112"/>
      <c r="T674" s="112"/>
      <c r="AC674" s="112"/>
    </row>
    <row r="675">
      <c r="A675" s="112"/>
      <c r="B675" s="124"/>
      <c r="J675" s="112"/>
      <c r="T675" s="112"/>
      <c r="AC675" s="112"/>
    </row>
    <row r="676">
      <c r="A676" s="112"/>
      <c r="B676" s="124"/>
      <c r="J676" s="112"/>
      <c r="T676" s="112"/>
      <c r="AC676" s="112"/>
    </row>
    <row r="677">
      <c r="A677" s="112"/>
      <c r="B677" s="124"/>
      <c r="J677" s="112"/>
      <c r="T677" s="112"/>
      <c r="AC677" s="112"/>
    </row>
    <row r="678">
      <c r="A678" s="112"/>
      <c r="B678" s="124"/>
      <c r="J678" s="112"/>
      <c r="T678" s="112"/>
      <c r="AC678" s="112"/>
    </row>
    <row r="679">
      <c r="A679" s="112"/>
      <c r="B679" s="124"/>
      <c r="J679" s="112"/>
      <c r="T679" s="112"/>
      <c r="AC679" s="112"/>
    </row>
    <row r="680">
      <c r="A680" s="112"/>
      <c r="B680" s="124"/>
      <c r="J680" s="112"/>
      <c r="T680" s="112"/>
      <c r="AC680" s="112"/>
    </row>
    <row r="681">
      <c r="A681" s="112"/>
      <c r="B681" s="124"/>
      <c r="J681" s="112"/>
      <c r="T681" s="112"/>
      <c r="AC681" s="112"/>
    </row>
    <row r="682">
      <c r="A682" s="112"/>
      <c r="B682" s="124"/>
      <c r="J682" s="112"/>
      <c r="T682" s="112"/>
      <c r="AC682" s="112"/>
    </row>
    <row r="683">
      <c r="A683" s="112"/>
      <c r="B683" s="124"/>
      <c r="J683" s="112"/>
      <c r="T683" s="112"/>
      <c r="AC683" s="112"/>
    </row>
    <row r="684">
      <c r="A684" s="112"/>
      <c r="B684" s="124"/>
      <c r="J684" s="112"/>
      <c r="T684" s="112"/>
      <c r="AC684" s="112"/>
    </row>
    <row r="685">
      <c r="A685" s="112"/>
      <c r="B685" s="124"/>
      <c r="J685" s="112"/>
      <c r="T685" s="112"/>
      <c r="AC685" s="112"/>
    </row>
    <row r="686">
      <c r="A686" s="112"/>
      <c r="B686" s="124"/>
      <c r="J686" s="112"/>
      <c r="T686" s="112"/>
      <c r="AC686" s="112"/>
    </row>
    <row r="687">
      <c r="A687" s="112"/>
      <c r="B687" s="124"/>
      <c r="J687" s="112"/>
      <c r="T687" s="112"/>
      <c r="AC687" s="112"/>
    </row>
    <row r="688">
      <c r="A688" s="112"/>
      <c r="B688" s="124"/>
      <c r="J688" s="112"/>
      <c r="T688" s="112"/>
      <c r="AC688" s="112"/>
    </row>
    <row r="689">
      <c r="A689" s="112"/>
      <c r="B689" s="124"/>
      <c r="J689" s="112"/>
      <c r="T689" s="112"/>
      <c r="AC689" s="112"/>
    </row>
    <row r="690">
      <c r="A690" s="112"/>
      <c r="B690" s="124"/>
      <c r="J690" s="112"/>
      <c r="T690" s="112"/>
      <c r="AC690" s="112"/>
    </row>
    <row r="691">
      <c r="A691" s="112"/>
      <c r="B691" s="124"/>
      <c r="J691" s="112"/>
      <c r="T691" s="112"/>
      <c r="AC691" s="112"/>
    </row>
    <row r="692">
      <c r="A692" s="112"/>
      <c r="B692" s="124"/>
      <c r="J692" s="112"/>
      <c r="T692" s="112"/>
      <c r="AC692" s="112"/>
    </row>
    <row r="693">
      <c r="A693" s="112"/>
      <c r="B693" s="124"/>
      <c r="J693" s="112"/>
      <c r="T693" s="112"/>
      <c r="AC693" s="112"/>
    </row>
    <row r="694">
      <c r="A694" s="112"/>
      <c r="B694" s="124"/>
      <c r="J694" s="112"/>
      <c r="T694" s="112"/>
      <c r="AC694" s="112"/>
    </row>
    <row r="695">
      <c r="A695" s="112"/>
      <c r="B695" s="124"/>
      <c r="J695" s="112"/>
      <c r="T695" s="112"/>
      <c r="AC695" s="112"/>
    </row>
    <row r="696">
      <c r="A696" s="112"/>
      <c r="B696" s="124"/>
      <c r="J696" s="112"/>
      <c r="T696" s="112"/>
      <c r="AC696" s="112"/>
    </row>
    <row r="697">
      <c r="A697" s="112"/>
      <c r="B697" s="124"/>
      <c r="J697" s="112"/>
      <c r="T697" s="112"/>
      <c r="AC697" s="112"/>
    </row>
    <row r="698">
      <c r="A698" s="112"/>
      <c r="B698" s="124"/>
      <c r="J698" s="112"/>
      <c r="T698" s="112"/>
      <c r="AC698" s="112"/>
    </row>
    <row r="699">
      <c r="A699" s="112"/>
      <c r="B699" s="124"/>
      <c r="J699" s="112"/>
      <c r="T699" s="112"/>
      <c r="AC699" s="112"/>
    </row>
    <row r="700">
      <c r="A700" s="112"/>
      <c r="B700" s="124"/>
      <c r="J700" s="112"/>
      <c r="T700" s="112"/>
      <c r="AC700" s="112"/>
    </row>
    <row r="701">
      <c r="A701" s="112"/>
      <c r="B701" s="124"/>
      <c r="J701" s="112"/>
      <c r="T701" s="112"/>
      <c r="AC701" s="112"/>
    </row>
    <row r="702">
      <c r="A702" s="112"/>
      <c r="B702" s="124"/>
      <c r="J702" s="112"/>
      <c r="T702" s="112"/>
      <c r="AC702" s="112"/>
    </row>
    <row r="703">
      <c r="A703" s="112"/>
      <c r="B703" s="124"/>
      <c r="J703" s="112"/>
      <c r="T703" s="112"/>
      <c r="AC703" s="112"/>
    </row>
    <row r="704">
      <c r="A704" s="112"/>
      <c r="B704" s="124"/>
      <c r="J704" s="112"/>
      <c r="T704" s="112"/>
      <c r="AC704" s="112"/>
    </row>
    <row r="705">
      <c r="A705" s="112"/>
      <c r="B705" s="124"/>
      <c r="J705" s="112"/>
      <c r="T705" s="112"/>
      <c r="AC705" s="112"/>
    </row>
    <row r="706">
      <c r="A706" s="112"/>
      <c r="B706" s="124"/>
      <c r="J706" s="112"/>
      <c r="T706" s="112"/>
      <c r="AC706" s="112"/>
    </row>
    <row r="707">
      <c r="A707" s="112"/>
      <c r="B707" s="124"/>
      <c r="J707" s="112"/>
      <c r="T707" s="112"/>
      <c r="AC707" s="112"/>
    </row>
    <row r="708">
      <c r="A708" s="112"/>
      <c r="B708" s="124"/>
      <c r="J708" s="112"/>
      <c r="T708" s="112"/>
      <c r="AC708" s="112"/>
    </row>
    <row r="709">
      <c r="A709" s="112"/>
      <c r="B709" s="124"/>
      <c r="J709" s="112"/>
      <c r="T709" s="112"/>
      <c r="AC709" s="112"/>
    </row>
    <row r="710">
      <c r="A710" s="112"/>
      <c r="B710" s="124"/>
      <c r="J710" s="112"/>
      <c r="T710" s="112"/>
      <c r="AC710" s="112"/>
    </row>
    <row r="711">
      <c r="A711" s="112"/>
      <c r="B711" s="124"/>
      <c r="J711" s="112"/>
      <c r="T711" s="112"/>
      <c r="AC711" s="112"/>
    </row>
    <row r="712">
      <c r="A712" s="112"/>
      <c r="B712" s="124"/>
      <c r="J712" s="112"/>
      <c r="T712" s="112"/>
      <c r="AC712" s="112"/>
    </row>
    <row r="713">
      <c r="A713" s="112"/>
      <c r="B713" s="124"/>
      <c r="J713" s="112"/>
      <c r="T713" s="112"/>
      <c r="AC713" s="112"/>
    </row>
    <row r="714">
      <c r="A714" s="112"/>
      <c r="B714" s="124"/>
      <c r="J714" s="112"/>
      <c r="T714" s="112"/>
      <c r="AC714" s="112"/>
    </row>
    <row r="715">
      <c r="A715" s="112"/>
      <c r="B715" s="124"/>
      <c r="J715" s="112"/>
      <c r="T715" s="112"/>
      <c r="AC715" s="112"/>
    </row>
    <row r="716">
      <c r="A716" s="112"/>
      <c r="B716" s="124"/>
      <c r="J716" s="112"/>
      <c r="T716" s="112"/>
      <c r="AC716" s="112"/>
    </row>
    <row r="717">
      <c r="A717" s="112"/>
      <c r="B717" s="124"/>
      <c r="J717" s="112"/>
      <c r="T717" s="112"/>
      <c r="AC717" s="112"/>
    </row>
    <row r="718">
      <c r="A718" s="112"/>
      <c r="B718" s="124"/>
      <c r="J718" s="112"/>
      <c r="T718" s="112"/>
      <c r="AC718" s="112"/>
    </row>
    <row r="719">
      <c r="A719" s="112"/>
      <c r="B719" s="124"/>
      <c r="J719" s="112"/>
      <c r="T719" s="112"/>
      <c r="AC719" s="112"/>
    </row>
    <row r="720">
      <c r="A720" s="112"/>
      <c r="B720" s="124"/>
      <c r="J720" s="112"/>
      <c r="T720" s="112"/>
      <c r="AC720" s="112"/>
    </row>
    <row r="721">
      <c r="A721" s="112"/>
      <c r="B721" s="124"/>
      <c r="J721" s="112"/>
      <c r="T721" s="112"/>
      <c r="AC721" s="112"/>
    </row>
    <row r="722">
      <c r="A722" s="112"/>
      <c r="B722" s="124"/>
      <c r="J722" s="112"/>
      <c r="T722" s="112"/>
      <c r="AC722" s="112"/>
    </row>
    <row r="723">
      <c r="A723" s="112"/>
      <c r="B723" s="124"/>
      <c r="J723" s="112"/>
      <c r="T723" s="112"/>
      <c r="AC723" s="112"/>
    </row>
    <row r="724">
      <c r="A724" s="112"/>
      <c r="B724" s="124"/>
      <c r="J724" s="112"/>
      <c r="T724" s="112"/>
      <c r="AC724" s="112"/>
    </row>
    <row r="725">
      <c r="A725" s="112"/>
      <c r="B725" s="124"/>
      <c r="J725" s="112"/>
      <c r="T725" s="112"/>
      <c r="AC725" s="112"/>
    </row>
    <row r="726">
      <c r="A726" s="112"/>
      <c r="B726" s="124"/>
      <c r="J726" s="112"/>
      <c r="T726" s="112"/>
      <c r="AC726" s="112"/>
    </row>
    <row r="727">
      <c r="A727" s="112"/>
      <c r="B727" s="124"/>
      <c r="J727" s="112"/>
      <c r="T727" s="112"/>
      <c r="AC727" s="112"/>
    </row>
    <row r="728">
      <c r="A728" s="112"/>
      <c r="B728" s="124"/>
      <c r="J728" s="112"/>
      <c r="T728" s="112"/>
      <c r="AC728" s="112"/>
    </row>
    <row r="729">
      <c r="A729" s="112"/>
      <c r="B729" s="124"/>
      <c r="J729" s="112"/>
      <c r="T729" s="112"/>
      <c r="AC729" s="112"/>
    </row>
    <row r="730">
      <c r="A730" s="112"/>
      <c r="B730" s="124"/>
      <c r="J730" s="112"/>
      <c r="T730" s="112"/>
      <c r="AC730" s="112"/>
    </row>
    <row r="731">
      <c r="A731" s="112"/>
      <c r="B731" s="124"/>
      <c r="J731" s="112"/>
      <c r="T731" s="112"/>
      <c r="AC731" s="112"/>
    </row>
    <row r="732">
      <c r="A732" s="112"/>
      <c r="B732" s="124"/>
      <c r="J732" s="112"/>
      <c r="T732" s="112"/>
      <c r="AC732" s="112"/>
    </row>
    <row r="733">
      <c r="A733" s="112"/>
      <c r="B733" s="124"/>
      <c r="J733" s="112"/>
      <c r="T733" s="112"/>
      <c r="AC733" s="112"/>
    </row>
    <row r="734">
      <c r="A734" s="112"/>
      <c r="B734" s="124"/>
      <c r="J734" s="112"/>
      <c r="T734" s="112"/>
      <c r="AC734" s="112"/>
    </row>
    <row r="735">
      <c r="A735" s="112"/>
      <c r="B735" s="124"/>
      <c r="J735" s="112"/>
      <c r="T735" s="112"/>
      <c r="AC735" s="112"/>
    </row>
    <row r="736">
      <c r="A736" s="112"/>
      <c r="B736" s="124"/>
      <c r="J736" s="112"/>
      <c r="T736" s="112"/>
      <c r="AC736" s="112"/>
    </row>
    <row r="737">
      <c r="A737" s="112"/>
      <c r="B737" s="124"/>
      <c r="J737" s="112"/>
      <c r="T737" s="112"/>
      <c r="AC737" s="112"/>
    </row>
    <row r="738">
      <c r="A738" s="112"/>
      <c r="B738" s="124"/>
      <c r="J738" s="112"/>
      <c r="T738" s="112"/>
      <c r="AC738" s="112"/>
    </row>
    <row r="739">
      <c r="A739" s="112"/>
      <c r="B739" s="124"/>
      <c r="J739" s="112"/>
      <c r="T739" s="112"/>
      <c r="AC739" s="112"/>
    </row>
    <row r="740">
      <c r="A740" s="112"/>
      <c r="B740" s="124"/>
      <c r="J740" s="112"/>
      <c r="T740" s="112"/>
      <c r="AC740" s="112"/>
    </row>
    <row r="741">
      <c r="A741" s="112"/>
      <c r="B741" s="124"/>
      <c r="J741" s="112"/>
      <c r="T741" s="112"/>
      <c r="AC741" s="112"/>
    </row>
    <row r="742">
      <c r="A742" s="112"/>
      <c r="B742" s="124"/>
      <c r="J742" s="112"/>
      <c r="T742" s="112"/>
      <c r="AC742" s="112"/>
    </row>
    <row r="743">
      <c r="A743" s="112"/>
      <c r="B743" s="124"/>
      <c r="J743" s="112"/>
      <c r="T743" s="112"/>
      <c r="AC743" s="112"/>
    </row>
    <row r="744">
      <c r="A744" s="112"/>
      <c r="B744" s="124"/>
      <c r="J744" s="112"/>
      <c r="T744" s="112"/>
      <c r="AC744" s="112"/>
    </row>
    <row r="745">
      <c r="A745" s="112"/>
      <c r="B745" s="124"/>
      <c r="J745" s="112"/>
      <c r="T745" s="112"/>
      <c r="AC745" s="112"/>
    </row>
    <row r="746">
      <c r="A746" s="112"/>
      <c r="B746" s="124"/>
      <c r="J746" s="112"/>
      <c r="T746" s="112"/>
      <c r="AC746" s="112"/>
    </row>
    <row r="747">
      <c r="A747" s="112"/>
      <c r="B747" s="124"/>
      <c r="J747" s="112"/>
      <c r="T747" s="112"/>
      <c r="AC747" s="112"/>
    </row>
    <row r="748">
      <c r="A748" s="112"/>
      <c r="B748" s="124"/>
      <c r="J748" s="112"/>
      <c r="T748" s="112"/>
      <c r="AC748" s="112"/>
    </row>
    <row r="749">
      <c r="A749" s="112"/>
      <c r="B749" s="124"/>
      <c r="J749" s="112"/>
      <c r="T749" s="112"/>
      <c r="AC749" s="112"/>
    </row>
    <row r="750">
      <c r="A750" s="112"/>
      <c r="B750" s="124"/>
      <c r="J750" s="112"/>
      <c r="T750" s="112"/>
      <c r="AC750" s="112"/>
    </row>
    <row r="751">
      <c r="A751" s="112"/>
      <c r="B751" s="124"/>
      <c r="J751" s="112"/>
      <c r="T751" s="112"/>
      <c r="AC751" s="112"/>
    </row>
    <row r="752">
      <c r="A752" s="112"/>
      <c r="B752" s="124"/>
      <c r="J752" s="112"/>
      <c r="T752" s="112"/>
      <c r="AC752" s="112"/>
    </row>
    <row r="753">
      <c r="A753" s="112"/>
      <c r="B753" s="124"/>
      <c r="J753" s="112"/>
      <c r="T753" s="112"/>
      <c r="AC753" s="112"/>
    </row>
    <row r="754">
      <c r="A754" s="112"/>
      <c r="B754" s="124"/>
      <c r="J754" s="112"/>
      <c r="T754" s="112"/>
      <c r="AC754" s="112"/>
    </row>
    <row r="755">
      <c r="A755" s="112"/>
      <c r="B755" s="124"/>
      <c r="J755" s="112"/>
      <c r="T755" s="112"/>
      <c r="AC755" s="112"/>
    </row>
    <row r="756">
      <c r="A756" s="112"/>
      <c r="B756" s="124"/>
      <c r="J756" s="112"/>
      <c r="T756" s="112"/>
      <c r="AC756" s="112"/>
    </row>
    <row r="757">
      <c r="A757" s="112"/>
      <c r="B757" s="124"/>
      <c r="J757" s="112"/>
      <c r="T757" s="112"/>
      <c r="AC757" s="112"/>
    </row>
    <row r="758">
      <c r="A758" s="112"/>
      <c r="B758" s="124"/>
      <c r="J758" s="112"/>
      <c r="T758" s="112"/>
      <c r="AC758" s="112"/>
    </row>
    <row r="759">
      <c r="A759" s="112"/>
      <c r="B759" s="124"/>
      <c r="J759" s="112"/>
      <c r="T759" s="112"/>
      <c r="AC759" s="112"/>
    </row>
    <row r="760">
      <c r="A760" s="112"/>
      <c r="B760" s="124"/>
      <c r="J760" s="112"/>
      <c r="T760" s="112"/>
      <c r="AC760" s="112"/>
    </row>
    <row r="761">
      <c r="A761" s="112"/>
      <c r="B761" s="124"/>
      <c r="J761" s="112"/>
      <c r="T761" s="112"/>
      <c r="AC761" s="112"/>
    </row>
    <row r="762">
      <c r="A762" s="112"/>
      <c r="B762" s="124"/>
      <c r="J762" s="112"/>
      <c r="T762" s="112"/>
      <c r="AC762" s="112"/>
    </row>
    <row r="763">
      <c r="A763" s="112"/>
      <c r="B763" s="124"/>
      <c r="J763" s="112"/>
      <c r="T763" s="112"/>
      <c r="AC763" s="112"/>
    </row>
    <row r="764">
      <c r="A764" s="112"/>
      <c r="B764" s="124"/>
      <c r="J764" s="112"/>
      <c r="T764" s="112"/>
      <c r="AC764" s="112"/>
    </row>
    <row r="765">
      <c r="A765" s="112"/>
      <c r="B765" s="124"/>
      <c r="J765" s="112"/>
      <c r="T765" s="112"/>
      <c r="AC765" s="112"/>
    </row>
    <row r="766">
      <c r="A766" s="112"/>
      <c r="B766" s="124"/>
      <c r="J766" s="112"/>
      <c r="T766" s="112"/>
      <c r="AC766" s="112"/>
    </row>
    <row r="767">
      <c r="A767" s="112"/>
      <c r="B767" s="124"/>
      <c r="J767" s="112"/>
      <c r="T767" s="112"/>
      <c r="AC767" s="112"/>
    </row>
    <row r="768">
      <c r="A768" s="112"/>
      <c r="B768" s="124"/>
      <c r="J768" s="112"/>
      <c r="T768" s="112"/>
      <c r="AC768" s="112"/>
    </row>
    <row r="769">
      <c r="A769" s="112"/>
      <c r="B769" s="124"/>
      <c r="J769" s="112"/>
      <c r="T769" s="112"/>
      <c r="AC769" s="112"/>
    </row>
    <row r="770">
      <c r="A770" s="112"/>
      <c r="B770" s="124"/>
      <c r="J770" s="112"/>
      <c r="T770" s="112"/>
      <c r="AC770" s="112"/>
    </row>
    <row r="771">
      <c r="A771" s="112"/>
      <c r="B771" s="124"/>
      <c r="J771" s="112"/>
      <c r="T771" s="112"/>
      <c r="AC771" s="112"/>
    </row>
    <row r="772">
      <c r="A772" s="112"/>
      <c r="B772" s="124"/>
      <c r="J772" s="112"/>
      <c r="T772" s="112"/>
      <c r="AC772" s="112"/>
    </row>
    <row r="773">
      <c r="A773" s="112"/>
      <c r="B773" s="124"/>
      <c r="J773" s="112"/>
      <c r="T773" s="112"/>
      <c r="AC773" s="112"/>
    </row>
    <row r="774">
      <c r="A774" s="112"/>
      <c r="B774" s="124"/>
      <c r="J774" s="112"/>
      <c r="T774" s="112"/>
      <c r="AC774" s="112"/>
    </row>
    <row r="775">
      <c r="A775" s="112"/>
      <c r="B775" s="124"/>
      <c r="J775" s="112"/>
      <c r="T775" s="112"/>
      <c r="AC775" s="112"/>
    </row>
    <row r="776">
      <c r="A776" s="112"/>
      <c r="B776" s="124"/>
      <c r="J776" s="112"/>
      <c r="T776" s="112"/>
      <c r="AC776" s="112"/>
    </row>
    <row r="777">
      <c r="A777" s="112"/>
      <c r="B777" s="124"/>
      <c r="J777" s="112"/>
      <c r="T777" s="112"/>
      <c r="AC777" s="112"/>
    </row>
    <row r="778">
      <c r="A778" s="112"/>
      <c r="B778" s="124"/>
      <c r="J778" s="112"/>
      <c r="T778" s="112"/>
      <c r="AC778" s="112"/>
    </row>
    <row r="779">
      <c r="A779" s="112"/>
      <c r="B779" s="124"/>
      <c r="J779" s="112"/>
      <c r="T779" s="112"/>
      <c r="AC779" s="112"/>
    </row>
    <row r="780">
      <c r="A780" s="112"/>
      <c r="B780" s="124"/>
      <c r="J780" s="112"/>
      <c r="T780" s="112"/>
      <c r="AC780" s="112"/>
    </row>
    <row r="781">
      <c r="A781" s="112"/>
      <c r="B781" s="124"/>
      <c r="J781" s="112"/>
      <c r="T781" s="112"/>
      <c r="AC781" s="112"/>
    </row>
    <row r="782">
      <c r="A782" s="112"/>
      <c r="B782" s="124"/>
      <c r="J782" s="112"/>
      <c r="T782" s="112"/>
      <c r="AC782" s="112"/>
    </row>
    <row r="783">
      <c r="A783" s="112"/>
      <c r="B783" s="124"/>
      <c r="J783" s="112"/>
      <c r="T783" s="112"/>
      <c r="AC783" s="112"/>
    </row>
    <row r="784">
      <c r="A784" s="112"/>
      <c r="B784" s="124"/>
      <c r="J784" s="112"/>
      <c r="T784" s="112"/>
      <c r="AC784" s="112"/>
    </row>
    <row r="785">
      <c r="A785" s="112"/>
      <c r="B785" s="124"/>
      <c r="J785" s="112"/>
      <c r="T785" s="112"/>
      <c r="AC785" s="112"/>
    </row>
    <row r="786">
      <c r="A786" s="112"/>
      <c r="B786" s="124"/>
      <c r="J786" s="112"/>
      <c r="T786" s="112"/>
      <c r="AC786" s="112"/>
    </row>
    <row r="787">
      <c r="A787" s="112"/>
      <c r="B787" s="124"/>
      <c r="J787" s="112"/>
      <c r="T787" s="112"/>
      <c r="AC787" s="112"/>
    </row>
    <row r="788">
      <c r="A788" s="112"/>
      <c r="B788" s="124"/>
      <c r="J788" s="112"/>
      <c r="T788" s="112"/>
      <c r="AC788" s="112"/>
    </row>
    <row r="789">
      <c r="A789" s="112"/>
      <c r="B789" s="124"/>
      <c r="J789" s="112"/>
      <c r="T789" s="112"/>
      <c r="AC789" s="112"/>
    </row>
    <row r="790">
      <c r="A790" s="112"/>
      <c r="B790" s="124"/>
      <c r="J790" s="112"/>
      <c r="T790" s="112"/>
      <c r="AC790" s="112"/>
    </row>
    <row r="791">
      <c r="A791" s="112"/>
      <c r="B791" s="124"/>
      <c r="J791" s="112"/>
      <c r="T791" s="112"/>
      <c r="AC791" s="112"/>
    </row>
    <row r="792">
      <c r="A792" s="112"/>
      <c r="B792" s="124"/>
      <c r="J792" s="112"/>
      <c r="T792" s="112"/>
      <c r="AC792" s="112"/>
    </row>
    <row r="793">
      <c r="A793" s="112"/>
      <c r="B793" s="124"/>
      <c r="J793" s="112"/>
      <c r="T793" s="112"/>
      <c r="AC793" s="112"/>
    </row>
    <row r="794">
      <c r="A794" s="112"/>
      <c r="B794" s="124"/>
      <c r="J794" s="112"/>
      <c r="T794" s="112"/>
      <c r="AC794" s="112"/>
    </row>
    <row r="795">
      <c r="A795" s="112"/>
      <c r="B795" s="124"/>
      <c r="J795" s="112"/>
      <c r="T795" s="112"/>
      <c r="AC795" s="112"/>
    </row>
    <row r="796">
      <c r="A796" s="112"/>
      <c r="B796" s="124"/>
      <c r="J796" s="112"/>
      <c r="T796" s="112"/>
      <c r="AC796" s="112"/>
    </row>
    <row r="797">
      <c r="A797" s="112"/>
      <c r="B797" s="124"/>
      <c r="J797" s="112"/>
      <c r="T797" s="112"/>
      <c r="AC797" s="112"/>
    </row>
    <row r="798">
      <c r="A798" s="112"/>
      <c r="B798" s="124"/>
      <c r="J798" s="112"/>
      <c r="T798" s="112"/>
      <c r="AC798" s="112"/>
    </row>
    <row r="799">
      <c r="A799" s="112"/>
      <c r="B799" s="124"/>
      <c r="J799" s="112"/>
      <c r="T799" s="112"/>
      <c r="AC799" s="112"/>
    </row>
    <row r="800">
      <c r="A800" s="112"/>
      <c r="B800" s="124"/>
      <c r="J800" s="112"/>
      <c r="T800" s="112"/>
      <c r="AC800" s="112"/>
    </row>
    <row r="801">
      <c r="A801" s="112"/>
      <c r="B801" s="124"/>
      <c r="J801" s="112"/>
      <c r="T801" s="112"/>
      <c r="AC801" s="112"/>
    </row>
    <row r="802">
      <c r="A802" s="112"/>
      <c r="B802" s="124"/>
      <c r="J802" s="112"/>
      <c r="T802" s="112"/>
      <c r="AC802" s="112"/>
    </row>
    <row r="803">
      <c r="A803" s="112"/>
      <c r="B803" s="124"/>
      <c r="J803" s="112"/>
      <c r="T803" s="112"/>
      <c r="AC803" s="112"/>
    </row>
    <row r="804">
      <c r="A804" s="112"/>
      <c r="B804" s="124"/>
      <c r="J804" s="112"/>
      <c r="T804" s="112"/>
      <c r="AC804" s="112"/>
    </row>
    <row r="805">
      <c r="A805" s="112"/>
      <c r="B805" s="124"/>
      <c r="J805" s="112"/>
      <c r="T805" s="112"/>
      <c r="AC805" s="112"/>
    </row>
    <row r="806">
      <c r="A806" s="112"/>
      <c r="B806" s="124"/>
      <c r="J806" s="112"/>
      <c r="T806" s="112"/>
      <c r="AC806" s="112"/>
    </row>
    <row r="807">
      <c r="A807" s="112"/>
      <c r="B807" s="124"/>
      <c r="J807" s="112"/>
      <c r="T807" s="112"/>
      <c r="AC807" s="112"/>
    </row>
    <row r="808">
      <c r="A808" s="112"/>
      <c r="B808" s="124"/>
      <c r="J808" s="112"/>
      <c r="T808" s="112"/>
      <c r="AC808" s="112"/>
    </row>
    <row r="809">
      <c r="A809" s="112"/>
      <c r="B809" s="124"/>
      <c r="J809" s="112"/>
      <c r="T809" s="112"/>
      <c r="AC809" s="112"/>
    </row>
    <row r="810">
      <c r="A810" s="112"/>
      <c r="B810" s="124"/>
      <c r="J810" s="112"/>
      <c r="T810" s="112"/>
      <c r="AC810" s="112"/>
    </row>
    <row r="811">
      <c r="A811" s="112"/>
      <c r="B811" s="124"/>
      <c r="J811" s="112"/>
      <c r="T811" s="112"/>
      <c r="AC811" s="112"/>
    </row>
    <row r="812">
      <c r="A812" s="112"/>
      <c r="B812" s="124"/>
      <c r="J812" s="112"/>
      <c r="T812" s="112"/>
      <c r="AC812" s="112"/>
    </row>
    <row r="813">
      <c r="A813" s="112"/>
      <c r="B813" s="124"/>
      <c r="J813" s="112"/>
      <c r="T813" s="112"/>
      <c r="AC813" s="112"/>
    </row>
    <row r="814">
      <c r="A814" s="112"/>
      <c r="B814" s="124"/>
      <c r="J814" s="112"/>
      <c r="T814" s="112"/>
      <c r="AC814" s="112"/>
    </row>
    <row r="815">
      <c r="A815" s="112"/>
      <c r="B815" s="124"/>
      <c r="J815" s="112"/>
      <c r="T815" s="112"/>
      <c r="AC815" s="112"/>
    </row>
    <row r="816">
      <c r="A816" s="112"/>
      <c r="B816" s="124"/>
      <c r="J816" s="112"/>
      <c r="T816" s="112"/>
      <c r="AC816" s="112"/>
    </row>
    <row r="817">
      <c r="A817" s="112"/>
      <c r="B817" s="124"/>
      <c r="J817" s="112"/>
      <c r="T817" s="112"/>
      <c r="AC817" s="112"/>
    </row>
    <row r="818">
      <c r="A818" s="112"/>
      <c r="B818" s="124"/>
      <c r="J818" s="112"/>
      <c r="T818" s="112"/>
      <c r="AC818" s="112"/>
    </row>
    <row r="819">
      <c r="A819" s="112"/>
      <c r="B819" s="124"/>
      <c r="J819" s="112"/>
      <c r="T819" s="112"/>
      <c r="AC819" s="112"/>
    </row>
    <row r="820">
      <c r="A820" s="112"/>
      <c r="B820" s="124"/>
      <c r="J820" s="112"/>
      <c r="T820" s="112"/>
      <c r="AC820" s="112"/>
    </row>
    <row r="821">
      <c r="A821" s="112"/>
      <c r="B821" s="124"/>
      <c r="J821" s="112"/>
      <c r="T821" s="112"/>
      <c r="AC821" s="112"/>
    </row>
    <row r="822">
      <c r="A822" s="112"/>
      <c r="B822" s="124"/>
      <c r="J822" s="112"/>
      <c r="T822" s="112"/>
      <c r="AC822" s="112"/>
    </row>
    <row r="823">
      <c r="A823" s="112"/>
      <c r="B823" s="124"/>
      <c r="J823" s="112"/>
      <c r="T823" s="112"/>
      <c r="AC823" s="112"/>
    </row>
    <row r="824">
      <c r="A824" s="112"/>
      <c r="B824" s="124"/>
      <c r="J824" s="112"/>
      <c r="T824" s="112"/>
      <c r="AC824" s="112"/>
    </row>
    <row r="825">
      <c r="A825" s="112"/>
      <c r="B825" s="124"/>
      <c r="J825" s="112"/>
      <c r="T825" s="112"/>
      <c r="AC825" s="112"/>
    </row>
    <row r="826">
      <c r="A826" s="112"/>
      <c r="B826" s="124"/>
      <c r="J826" s="112"/>
      <c r="T826" s="112"/>
      <c r="AC826" s="112"/>
    </row>
    <row r="827">
      <c r="A827" s="112"/>
      <c r="B827" s="124"/>
      <c r="J827" s="112"/>
      <c r="T827" s="112"/>
      <c r="AC827" s="112"/>
    </row>
    <row r="828">
      <c r="A828" s="112"/>
      <c r="B828" s="124"/>
      <c r="J828" s="112"/>
      <c r="T828" s="112"/>
      <c r="AC828" s="112"/>
    </row>
    <row r="829">
      <c r="A829" s="112"/>
      <c r="B829" s="124"/>
      <c r="J829" s="112"/>
      <c r="T829" s="112"/>
      <c r="AC829" s="112"/>
    </row>
    <row r="830">
      <c r="A830" s="112"/>
      <c r="B830" s="124"/>
      <c r="J830" s="112"/>
      <c r="T830" s="112"/>
      <c r="AC830" s="112"/>
    </row>
    <row r="831">
      <c r="A831" s="112"/>
      <c r="B831" s="124"/>
      <c r="J831" s="112"/>
      <c r="T831" s="112"/>
      <c r="AC831" s="112"/>
    </row>
    <row r="832">
      <c r="A832" s="112"/>
      <c r="B832" s="124"/>
      <c r="J832" s="112"/>
      <c r="T832" s="112"/>
      <c r="AC832" s="112"/>
    </row>
    <row r="833">
      <c r="A833" s="112"/>
      <c r="B833" s="124"/>
      <c r="J833" s="112"/>
      <c r="T833" s="112"/>
      <c r="AC833" s="112"/>
    </row>
    <row r="834">
      <c r="A834" s="112"/>
      <c r="B834" s="124"/>
      <c r="J834" s="112"/>
      <c r="T834" s="112"/>
      <c r="AC834" s="112"/>
    </row>
    <row r="835">
      <c r="A835" s="112"/>
      <c r="B835" s="124"/>
      <c r="J835" s="112"/>
      <c r="T835" s="112"/>
      <c r="AC835" s="112"/>
    </row>
    <row r="836">
      <c r="A836" s="112"/>
      <c r="B836" s="124"/>
      <c r="J836" s="112"/>
      <c r="T836" s="112"/>
      <c r="AC836" s="112"/>
    </row>
    <row r="837">
      <c r="A837" s="112"/>
      <c r="B837" s="124"/>
      <c r="J837" s="112"/>
      <c r="T837" s="112"/>
      <c r="AC837" s="112"/>
    </row>
    <row r="838">
      <c r="A838" s="112"/>
      <c r="B838" s="124"/>
      <c r="J838" s="112"/>
      <c r="T838" s="112"/>
      <c r="AC838" s="112"/>
    </row>
    <row r="839">
      <c r="A839" s="112"/>
      <c r="B839" s="124"/>
      <c r="J839" s="112"/>
      <c r="T839" s="112"/>
      <c r="AC839" s="112"/>
    </row>
    <row r="840">
      <c r="A840" s="112"/>
      <c r="B840" s="124"/>
      <c r="J840" s="112"/>
      <c r="T840" s="112"/>
      <c r="AC840" s="112"/>
    </row>
    <row r="841">
      <c r="A841" s="112"/>
      <c r="B841" s="124"/>
      <c r="J841" s="112"/>
      <c r="T841" s="112"/>
      <c r="AC841" s="112"/>
    </row>
    <row r="842">
      <c r="A842" s="112"/>
      <c r="B842" s="124"/>
      <c r="J842" s="112"/>
      <c r="T842" s="112"/>
      <c r="AC842" s="112"/>
    </row>
    <row r="843">
      <c r="A843" s="112"/>
      <c r="B843" s="124"/>
      <c r="J843" s="112"/>
      <c r="T843" s="112"/>
      <c r="AC843" s="112"/>
    </row>
    <row r="844">
      <c r="A844" s="112"/>
      <c r="B844" s="124"/>
      <c r="J844" s="112"/>
      <c r="T844" s="112"/>
      <c r="AC844" s="112"/>
    </row>
    <row r="845">
      <c r="A845" s="112"/>
      <c r="B845" s="124"/>
      <c r="J845" s="112"/>
      <c r="T845" s="112"/>
      <c r="AC845" s="112"/>
    </row>
    <row r="846">
      <c r="A846" s="112"/>
      <c r="B846" s="124"/>
      <c r="J846" s="112"/>
      <c r="T846" s="112"/>
      <c r="AC846" s="112"/>
    </row>
    <row r="847">
      <c r="A847" s="112"/>
      <c r="B847" s="124"/>
      <c r="J847" s="112"/>
      <c r="T847" s="112"/>
      <c r="AC847" s="112"/>
    </row>
    <row r="848">
      <c r="A848" s="112"/>
      <c r="B848" s="124"/>
      <c r="J848" s="112"/>
      <c r="T848" s="112"/>
      <c r="AC848" s="112"/>
    </row>
    <row r="849">
      <c r="A849" s="112"/>
      <c r="B849" s="124"/>
      <c r="J849" s="112"/>
      <c r="T849" s="112"/>
      <c r="AC849" s="112"/>
    </row>
    <row r="850">
      <c r="A850" s="112"/>
      <c r="B850" s="124"/>
      <c r="J850" s="112"/>
      <c r="T850" s="112"/>
      <c r="AC850" s="112"/>
    </row>
    <row r="851">
      <c r="A851" s="112"/>
      <c r="B851" s="124"/>
      <c r="J851" s="112"/>
      <c r="T851" s="112"/>
      <c r="AC851" s="112"/>
    </row>
    <row r="852">
      <c r="A852" s="112"/>
      <c r="B852" s="124"/>
      <c r="J852" s="112"/>
      <c r="T852" s="112"/>
      <c r="AC852" s="112"/>
    </row>
    <row r="853">
      <c r="A853" s="112"/>
      <c r="B853" s="124"/>
      <c r="J853" s="112"/>
      <c r="T853" s="112"/>
      <c r="AC853" s="112"/>
    </row>
    <row r="854">
      <c r="A854" s="112"/>
      <c r="B854" s="124"/>
      <c r="J854" s="112"/>
      <c r="T854" s="112"/>
      <c r="AC854" s="112"/>
    </row>
    <row r="855">
      <c r="A855" s="112"/>
      <c r="B855" s="124"/>
      <c r="J855" s="112"/>
      <c r="T855" s="112"/>
      <c r="AC855" s="112"/>
    </row>
    <row r="856">
      <c r="A856" s="112"/>
      <c r="B856" s="124"/>
      <c r="J856" s="112"/>
      <c r="T856" s="112"/>
      <c r="AC856" s="112"/>
    </row>
    <row r="857">
      <c r="A857" s="112"/>
      <c r="B857" s="124"/>
      <c r="J857" s="112"/>
      <c r="T857" s="112"/>
      <c r="AC857" s="112"/>
    </row>
    <row r="858">
      <c r="A858" s="112"/>
      <c r="B858" s="124"/>
      <c r="J858" s="112"/>
      <c r="T858" s="112"/>
      <c r="AC858" s="112"/>
    </row>
    <row r="859">
      <c r="A859" s="112"/>
      <c r="B859" s="124"/>
      <c r="J859" s="112"/>
      <c r="T859" s="112"/>
      <c r="AC859" s="112"/>
    </row>
    <row r="860">
      <c r="A860" s="112"/>
      <c r="B860" s="124"/>
      <c r="J860" s="112"/>
      <c r="T860" s="112"/>
      <c r="AC860" s="112"/>
    </row>
    <row r="861">
      <c r="A861" s="112"/>
      <c r="B861" s="124"/>
      <c r="J861" s="112"/>
      <c r="T861" s="112"/>
      <c r="AC861" s="112"/>
    </row>
    <row r="862">
      <c r="A862" s="112"/>
      <c r="B862" s="124"/>
      <c r="J862" s="112"/>
      <c r="T862" s="112"/>
      <c r="AC862" s="112"/>
    </row>
    <row r="863">
      <c r="A863" s="112"/>
      <c r="B863" s="124"/>
      <c r="J863" s="112"/>
      <c r="T863" s="112"/>
      <c r="AC863" s="112"/>
    </row>
    <row r="864">
      <c r="A864" s="112"/>
      <c r="B864" s="124"/>
      <c r="J864" s="112"/>
      <c r="T864" s="112"/>
      <c r="AC864" s="112"/>
    </row>
    <row r="865">
      <c r="A865" s="112"/>
      <c r="B865" s="124"/>
      <c r="J865" s="112"/>
      <c r="T865" s="112"/>
      <c r="AC865" s="112"/>
    </row>
    <row r="866">
      <c r="A866" s="112"/>
      <c r="B866" s="124"/>
      <c r="J866" s="112"/>
      <c r="T866" s="112"/>
      <c r="AC866" s="112"/>
    </row>
    <row r="867">
      <c r="A867" s="112"/>
      <c r="B867" s="124"/>
      <c r="J867" s="112"/>
      <c r="T867" s="112"/>
      <c r="AC867" s="112"/>
    </row>
    <row r="868">
      <c r="A868" s="112"/>
      <c r="B868" s="124"/>
      <c r="J868" s="112"/>
      <c r="T868" s="112"/>
      <c r="AC868" s="112"/>
    </row>
    <row r="869">
      <c r="A869" s="112"/>
      <c r="B869" s="124"/>
      <c r="J869" s="112"/>
      <c r="T869" s="112"/>
      <c r="AC869" s="112"/>
    </row>
    <row r="870">
      <c r="A870" s="112"/>
      <c r="B870" s="124"/>
      <c r="J870" s="112"/>
      <c r="T870" s="112"/>
      <c r="AC870" s="112"/>
    </row>
    <row r="871">
      <c r="A871" s="112"/>
      <c r="B871" s="124"/>
      <c r="J871" s="112"/>
      <c r="T871" s="112"/>
      <c r="AC871" s="112"/>
    </row>
    <row r="872">
      <c r="A872" s="112"/>
      <c r="B872" s="124"/>
      <c r="J872" s="112"/>
      <c r="T872" s="112"/>
      <c r="AC872" s="112"/>
    </row>
    <row r="873">
      <c r="A873" s="112"/>
      <c r="B873" s="124"/>
      <c r="J873" s="112"/>
      <c r="T873" s="112"/>
      <c r="AC873" s="112"/>
    </row>
    <row r="874">
      <c r="A874" s="112"/>
      <c r="B874" s="124"/>
      <c r="J874" s="112"/>
      <c r="T874" s="112"/>
      <c r="AC874" s="112"/>
    </row>
    <row r="875">
      <c r="A875" s="112"/>
      <c r="B875" s="124"/>
      <c r="J875" s="112"/>
      <c r="T875" s="112"/>
      <c r="AC875" s="112"/>
    </row>
    <row r="876">
      <c r="A876" s="112"/>
      <c r="B876" s="124"/>
      <c r="J876" s="112"/>
      <c r="T876" s="112"/>
      <c r="AC876" s="112"/>
    </row>
    <row r="877">
      <c r="A877" s="112"/>
      <c r="B877" s="124"/>
      <c r="J877" s="112"/>
      <c r="T877" s="112"/>
      <c r="AC877" s="112"/>
    </row>
    <row r="878">
      <c r="A878" s="112"/>
      <c r="B878" s="124"/>
      <c r="J878" s="112"/>
      <c r="T878" s="112"/>
      <c r="AC878" s="112"/>
    </row>
    <row r="879">
      <c r="A879" s="112"/>
      <c r="B879" s="124"/>
      <c r="J879" s="112"/>
      <c r="T879" s="112"/>
      <c r="AC879" s="112"/>
    </row>
    <row r="880">
      <c r="A880" s="112"/>
      <c r="B880" s="124"/>
      <c r="J880" s="112"/>
      <c r="T880" s="112"/>
      <c r="AC880" s="112"/>
    </row>
    <row r="881">
      <c r="A881" s="112"/>
      <c r="B881" s="124"/>
      <c r="J881" s="112"/>
      <c r="T881" s="112"/>
      <c r="AC881" s="112"/>
    </row>
    <row r="882">
      <c r="A882" s="112"/>
      <c r="B882" s="124"/>
      <c r="J882" s="112"/>
      <c r="T882" s="112"/>
      <c r="AC882" s="112"/>
    </row>
    <row r="883">
      <c r="A883" s="112"/>
      <c r="B883" s="124"/>
      <c r="J883" s="112"/>
      <c r="T883" s="112"/>
      <c r="AC883" s="112"/>
    </row>
    <row r="884">
      <c r="A884" s="112"/>
      <c r="B884" s="124"/>
      <c r="J884" s="112"/>
      <c r="T884" s="112"/>
      <c r="AC884" s="112"/>
    </row>
    <row r="885">
      <c r="A885" s="112"/>
      <c r="B885" s="124"/>
      <c r="J885" s="112"/>
      <c r="T885" s="112"/>
      <c r="AC885" s="112"/>
    </row>
    <row r="886">
      <c r="A886" s="112"/>
      <c r="B886" s="124"/>
      <c r="J886" s="112"/>
      <c r="T886" s="112"/>
      <c r="AC886" s="112"/>
    </row>
    <row r="887">
      <c r="A887" s="112"/>
      <c r="B887" s="124"/>
      <c r="J887" s="112"/>
      <c r="T887" s="112"/>
      <c r="AC887" s="112"/>
    </row>
    <row r="888">
      <c r="A888" s="112"/>
      <c r="B888" s="124"/>
      <c r="J888" s="112"/>
      <c r="T888" s="112"/>
      <c r="AC888" s="112"/>
    </row>
    <row r="889">
      <c r="A889" s="112"/>
      <c r="B889" s="124"/>
      <c r="J889" s="112"/>
      <c r="T889" s="112"/>
      <c r="AC889" s="112"/>
    </row>
    <row r="890">
      <c r="A890" s="112"/>
      <c r="B890" s="124"/>
      <c r="J890" s="112"/>
      <c r="T890" s="112"/>
      <c r="AC890" s="112"/>
    </row>
    <row r="891">
      <c r="A891" s="112"/>
      <c r="B891" s="124"/>
      <c r="J891" s="112"/>
      <c r="T891" s="112"/>
      <c r="AC891" s="112"/>
    </row>
    <row r="892">
      <c r="A892" s="112"/>
      <c r="B892" s="124"/>
      <c r="J892" s="112"/>
      <c r="T892" s="112"/>
      <c r="AC892" s="112"/>
    </row>
    <row r="893">
      <c r="A893" s="112"/>
      <c r="B893" s="124"/>
      <c r="J893" s="112"/>
      <c r="T893" s="112"/>
      <c r="AC893" s="112"/>
    </row>
    <row r="894">
      <c r="A894" s="112"/>
      <c r="B894" s="124"/>
      <c r="J894" s="112"/>
      <c r="T894" s="112"/>
      <c r="AC894" s="112"/>
    </row>
    <row r="895">
      <c r="A895" s="112"/>
      <c r="B895" s="124"/>
      <c r="J895" s="112"/>
      <c r="T895" s="112"/>
      <c r="AC895" s="112"/>
    </row>
    <row r="896">
      <c r="A896" s="112"/>
      <c r="B896" s="124"/>
      <c r="J896" s="112"/>
      <c r="T896" s="112"/>
      <c r="AC896" s="112"/>
    </row>
    <row r="897">
      <c r="A897" s="112"/>
      <c r="B897" s="124"/>
      <c r="J897" s="112"/>
      <c r="T897" s="112"/>
      <c r="AC897" s="112"/>
    </row>
    <row r="898">
      <c r="A898" s="112"/>
      <c r="B898" s="124"/>
      <c r="J898" s="112"/>
      <c r="T898" s="112"/>
      <c r="AC898" s="112"/>
    </row>
    <row r="899">
      <c r="A899" s="112"/>
      <c r="B899" s="124"/>
      <c r="J899" s="112"/>
      <c r="T899" s="112"/>
      <c r="AC899" s="112"/>
    </row>
    <row r="900">
      <c r="A900" s="112"/>
      <c r="B900" s="124"/>
      <c r="J900" s="112"/>
      <c r="T900" s="112"/>
      <c r="AC900" s="112"/>
    </row>
    <row r="901">
      <c r="A901" s="112"/>
      <c r="B901" s="124"/>
      <c r="J901" s="112"/>
      <c r="T901" s="112"/>
      <c r="AC901" s="112"/>
    </row>
    <row r="902">
      <c r="A902" s="112"/>
      <c r="B902" s="124"/>
      <c r="J902" s="112"/>
      <c r="T902" s="112"/>
      <c r="AC902" s="112"/>
    </row>
    <row r="903">
      <c r="A903" s="112"/>
      <c r="B903" s="124"/>
      <c r="J903" s="112"/>
      <c r="T903" s="112"/>
      <c r="AC903" s="112"/>
    </row>
    <row r="904">
      <c r="A904" s="112"/>
      <c r="B904" s="124"/>
      <c r="J904" s="112"/>
      <c r="T904" s="112"/>
      <c r="AC904" s="112"/>
    </row>
    <row r="905">
      <c r="A905" s="112"/>
      <c r="B905" s="124"/>
      <c r="J905" s="112"/>
      <c r="T905" s="112"/>
      <c r="AC905" s="112"/>
    </row>
    <row r="906">
      <c r="A906" s="112"/>
      <c r="B906" s="124"/>
      <c r="J906" s="112"/>
      <c r="T906" s="112"/>
      <c r="AC906" s="112"/>
    </row>
    <row r="907">
      <c r="A907" s="112"/>
      <c r="B907" s="124"/>
      <c r="J907" s="112"/>
      <c r="T907" s="112"/>
      <c r="AC907" s="112"/>
    </row>
    <row r="908">
      <c r="A908" s="112"/>
      <c r="B908" s="124"/>
      <c r="J908" s="112"/>
      <c r="T908" s="112"/>
      <c r="AC908" s="112"/>
    </row>
    <row r="909">
      <c r="A909" s="112"/>
      <c r="B909" s="124"/>
      <c r="J909" s="112"/>
      <c r="T909" s="112"/>
      <c r="AC909" s="112"/>
    </row>
    <row r="910">
      <c r="A910" s="112"/>
      <c r="B910" s="124"/>
      <c r="J910" s="112"/>
      <c r="T910" s="112"/>
      <c r="AC910" s="112"/>
    </row>
    <row r="911">
      <c r="A911" s="112"/>
      <c r="B911" s="124"/>
      <c r="J911" s="112"/>
      <c r="T911" s="112"/>
      <c r="AC911" s="112"/>
    </row>
    <row r="912">
      <c r="A912" s="112"/>
      <c r="B912" s="124"/>
      <c r="J912" s="112"/>
      <c r="T912" s="112"/>
      <c r="AC912" s="112"/>
    </row>
    <row r="913">
      <c r="A913" s="112"/>
      <c r="B913" s="124"/>
      <c r="J913" s="112"/>
      <c r="T913" s="112"/>
      <c r="AC913" s="112"/>
    </row>
    <row r="914">
      <c r="A914" s="112"/>
      <c r="B914" s="124"/>
      <c r="J914" s="112"/>
      <c r="T914" s="112"/>
      <c r="AC914" s="112"/>
    </row>
    <row r="915">
      <c r="A915" s="112"/>
      <c r="B915" s="124"/>
      <c r="J915" s="112"/>
      <c r="T915" s="112"/>
      <c r="AC915" s="112"/>
    </row>
    <row r="916">
      <c r="A916" s="112"/>
      <c r="B916" s="124"/>
      <c r="J916" s="112"/>
      <c r="T916" s="112"/>
      <c r="AC916" s="112"/>
    </row>
    <row r="917">
      <c r="A917" s="112"/>
      <c r="B917" s="124"/>
      <c r="J917" s="112"/>
      <c r="T917" s="112"/>
      <c r="AC917" s="112"/>
    </row>
    <row r="918">
      <c r="A918" s="112"/>
      <c r="B918" s="124"/>
      <c r="J918" s="112"/>
      <c r="T918" s="112"/>
      <c r="AC918" s="112"/>
    </row>
    <row r="919">
      <c r="A919" s="112"/>
      <c r="B919" s="124"/>
      <c r="J919" s="112"/>
      <c r="T919" s="112"/>
      <c r="AC919" s="112"/>
    </row>
    <row r="920">
      <c r="A920" s="112"/>
      <c r="B920" s="124"/>
      <c r="J920" s="112"/>
      <c r="T920" s="112"/>
      <c r="AC920" s="112"/>
    </row>
    <row r="921">
      <c r="A921" s="112"/>
      <c r="B921" s="124"/>
      <c r="J921" s="112"/>
      <c r="T921" s="112"/>
      <c r="AC921" s="112"/>
    </row>
    <row r="922">
      <c r="A922" s="112"/>
      <c r="B922" s="124"/>
      <c r="J922" s="112"/>
      <c r="T922" s="112"/>
      <c r="AC922" s="112"/>
    </row>
    <row r="923">
      <c r="A923" s="112"/>
      <c r="B923" s="124"/>
      <c r="J923" s="112"/>
      <c r="T923" s="112"/>
      <c r="AC923" s="112"/>
    </row>
    <row r="924">
      <c r="A924" s="112"/>
      <c r="B924" s="124"/>
      <c r="J924" s="112"/>
      <c r="T924" s="112"/>
      <c r="AC924" s="112"/>
    </row>
    <row r="925">
      <c r="A925" s="112"/>
      <c r="B925" s="124"/>
      <c r="J925" s="112"/>
      <c r="T925" s="112"/>
      <c r="AC925" s="112"/>
    </row>
    <row r="926">
      <c r="A926" s="112"/>
      <c r="B926" s="124"/>
      <c r="J926" s="112"/>
      <c r="T926" s="112"/>
      <c r="AC926" s="112"/>
    </row>
    <row r="927">
      <c r="A927" s="112"/>
      <c r="B927" s="124"/>
      <c r="J927" s="112"/>
      <c r="T927" s="112"/>
      <c r="AC927" s="112"/>
    </row>
    <row r="928">
      <c r="A928" s="112"/>
      <c r="B928" s="124"/>
      <c r="J928" s="112"/>
      <c r="T928" s="112"/>
      <c r="AC928" s="112"/>
    </row>
    <row r="929">
      <c r="A929" s="112"/>
      <c r="B929" s="124"/>
      <c r="J929" s="112"/>
      <c r="T929" s="112"/>
      <c r="AC929" s="112"/>
    </row>
    <row r="930">
      <c r="A930" s="112"/>
      <c r="B930" s="124"/>
      <c r="J930" s="112"/>
      <c r="T930" s="112"/>
      <c r="AC930" s="112"/>
    </row>
    <row r="931">
      <c r="A931" s="112"/>
      <c r="B931" s="124"/>
      <c r="J931" s="112"/>
      <c r="T931" s="112"/>
      <c r="AC931" s="112"/>
    </row>
    <row r="932">
      <c r="A932" s="112"/>
      <c r="B932" s="124"/>
      <c r="J932" s="112"/>
      <c r="T932" s="112"/>
      <c r="AC932" s="112"/>
    </row>
    <row r="933">
      <c r="A933" s="112"/>
      <c r="B933" s="124"/>
      <c r="J933" s="112"/>
      <c r="T933" s="112"/>
      <c r="AC933" s="112"/>
    </row>
    <row r="934">
      <c r="A934" s="112"/>
      <c r="B934" s="124"/>
      <c r="J934" s="112"/>
      <c r="T934" s="112"/>
      <c r="AC934" s="112"/>
    </row>
    <row r="935">
      <c r="A935" s="112"/>
      <c r="B935" s="124"/>
      <c r="J935" s="112"/>
      <c r="T935" s="112"/>
      <c r="AC935" s="112"/>
    </row>
    <row r="936">
      <c r="A936" s="112"/>
      <c r="B936" s="124"/>
      <c r="J936" s="112"/>
      <c r="T936" s="112"/>
      <c r="AC936" s="112"/>
    </row>
    <row r="937">
      <c r="A937" s="112"/>
      <c r="B937" s="124"/>
      <c r="J937" s="112"/>
      <c r="T937" s="112"/>
      <c r="AC937" s="112"/>
    </row>
    <row r="938">
      <c r="A938" s="112"/>
      <c r="B938" s="124"/>
      <c r="J938" s="112"/>
      <c r="T938" s="112"/>
      <c r="AC938" s="112"/>
    </row>
    <row r="939">
      <c r="A939" s="112"/>
      <c r="B939" s="124"/>
      <c r="J939" s="112"/>
      <c r="T939" s="112"/>
      <c r="AC939" s="112"/>
    </row>
    <row r="940">
      <c r="A940" s="112"/>
      <c r="B940" s="124"/>
      <c r="J940" s="112"/>
      <c r="T940" s="112"/>
      <c r="AC940" s="112"/>
    </row>
    <row r="941">
      <c r="A941" s="112"/>
      <c r="B941" s="124"/>
      <c r="J941" s="112"/>
      <c r="T941" s="112"/>
      <c r="AC941" s="112"/>
    </row>
    <row r="942">
      <c r="A942" s="112"/>
      <c r="B942" s="124"/>
      <c r="J942" s="112"/>
      <c r="T942" s="112"/>
      <c r="AC942" s="112"/>
    </row>
    <row r="943">
      <c r="A943" s="112"/>
      <c r="B943" s="124"/>
      <c r="J943" s="112"/>
      <c r="T943" s="112"/>
      <c r="AC943" s="112"/>
    </row>
    <row r="944">
      <c r="A944" s="112"/>
      <c r="B944" s="124"/>
      <c r="J944" s="112"/>
      <c r="T944" s="112"/>
      <c r="AC944" s="112"/>
    </row>
    <row r="945">
      <c r="A945" s="112"/>
      <c r="B945" s="124"/>
      <c r="J945" s="112"/>
      <c r="T945" s="112"/>
      <c r="AC945" s="112"/>
    </row>
    <row r="946">
      <c r="A946" s="112"/>
      <c r="B946" s="124"/>
      <c r="J946" s="112"/>
      <c r="T946" s="112"/>
      <c r="AC946" s="112"/>
    </row>
    <row r="947">
      <c r="A947" s="112"/>
      <c r="B947" s="124"/>
      <c r="J947" s="112"/>
      <c r="T947" s="112"/>
      <c r="AC947" s="112"/>
    </row>
    <row r="948">
      <c r="A948" s="112"/>
      <c r="B948" s="124"/>
      <c r="J948" s="112"/>
      <c r="T948" s="112"/>
      <c r="AC948" s="112"/>
    </row>
    <row r="949">
      <c r="A949" s="112"/>
      <c r="B949" s="124"/>
      <c r="J949" s="112"/>
      <c r="T949" s="112"/>
      <c r="AC949" s="112"/>
    </row>
    <row r="950">
      <c r="A950" s="112"/>
      <c r="B950" s="124"/>
      <c r="J950" s="112"/>
      <c r="T950" s="112"/>
      <c r="AC950" s="112"/>
    </row>
    <row r="951">
      <c r="A951" s="112"/>
      <c r="B951" s="124"/>
      <c r="J951" s="112"/>
      <c r="T951" s="112"/>
      <c r="AC951" s="112"/>
    </row>
    <row r="952">
      <c r="A952" s="112"/>
      <c r="B952" s="124"/>
      <c r="J952" s="112"/>
      <c r="T952" s="112"/>
      <c r="AC952" s="112"/>
    </row>
    <row r="953">
      <c r="A953" s="112"/>
      <c r="B953" s="124"/>
      <c r="J953" s="112"/>
      <c r="T953" s="112"/>
      <c r="AC953" s="112"/>
    </row>
    <row r="954">
      <c r="A954" s="112"/>
      <c r="B954" s="124"/>
      <c r="J954" s="112"/>
      <c r="T954" s="112"/>
      <c r="AC954" s="112"/>
    </row>
    <row r="955">
      <c r="A955" s="112"/>
      <c r="B955" s="124"/>
      <c r="J955" s="112"/>
      <c r="T955" s="112"/>
      <c r="AC955" s="112"/>
    </row>
    <row r="956">
      <c r="A956" s="112"/>
      <c r="B956" s="124"/>
      <c r="J956" s="112"/>
      <c r="T956" s="112"/>
      <c r="AC956" s="112"/>
    </row>
    <row r="957">
      <c r="A957" s="112"/>
      <c r="B957" s="124"/>
      <c r="J957" s="112"/>
      <c r="T957" s="112"/>
      <c r="AC957" s="112"/>
    </row>
    <row r="958">
      <c r="A958" s="112"/>
      <c r="B958" s="124"/>
      <c r="J958" s="112"/>
      <c r="T958" s="112"/>
      <c r="AC958" s="112"/>
    </row>
    <row r="959">
      <c r="A959" s="112"/>
      <c r="B959" s="124"/>
      <c r="J959" s="112"/>
      <c r="T959" s="112"/>
      <c r="AC959" s="112"/>
    </row>
    <row r="960">
      <c r="A960" s="112"/>
      <c r="B960" s="124"/>
      <c r="J960" s="112"/>
      <c r="T960" s="112"/>
      <c r="AC960" s="112"/>
    </row>
    <row r="961">
      <c r="A961" s="112"/>
      <c r="B961" s="124"/>
      <c r="J961" s="112"/>
      <c r="T961" s="112"/>
      <c r="AC961" s="112"/>
    </row>
    <row r="962">
      <c r="A962" s="112"/>
      <c r="B962" s="124"/>
      <c r="J962" s="112"/>
      <c r="T962" s="112"/>
      <c r="AC962" s="112"/>
    </row>
    <row r="963">
      <c r="A963" s="112"/>
      <c r="B963" s="124"/>
      <c r="J963" s="112"/>
      <c r="T963" s="112"/>
      <c r="AC963" s="112"/>
    </row>
    <row r="964">
      <c r="A964" s="112"/>
      <c r="B964" s="124"/>
      <c r="J964" s="112"/>
      <c r="T964" s="112"/>
      <c r="AC964" s="112"/>
    </row>
    <row r="965">
      <c r="A965" s="112"/>
      <c r="B965" s="124"/>
      <c r="J965" s="112"/>
      <c r="T965" s="112"/>
      <c r="AC965" s="112"/>
    </row>
    <row r="966">
      <c r="A966" s="112"/>
      <c r="B966" s="124"/>
      <c r="J966" s="112"/>
      <c r="T966" s="112"/>
      <c r="AC966" s="112"/>
    </row>
    <row r="967">
      <c r="A967" s="112"/>
      <c r="B967" s="124"/>
      <c r="J967" s="112"/>
      <c r="T967" s="112"/>
      <c r="AC967" s="112"/>
    </row>
    <row r="968">
      <c r="A968" s="112"/>
      <c r="B968" s="124"/>
      <c r="J968" s="112"/>
      <c r="T968" s="112"/>
      <c r="AC968" s="112"/>
    </row>
    <row r="969">
      <c r="A969" s="112"/>
      <c r="B969" s="124"/>
      <c r="J969" s="112"/>
      <c r="T969" s="112"/>
      <c r="AC969" s="112"/>
    </row>
    <row r="970">
      <c r="A970" s="112"/>
      <c r="B970" s="124"/>
      <c r="J970" s="112"/>
      <c r="T970" s="112"/>
      <c r="AC970" s="112"/>
    </row>
    <row r="971">
      <c r="A971" s="112"/>
      <c r="B971" s="124"/>
      <c r="J971" s="112"/>
      <c r="T971" s="112"/>
      <c r="AC971" s="112"/>
    </row>
    <row r="972">
      <c r="A972" s="112"/>
      <c r="B972" s="124"/>
      <c r="J972" s="112"/>
      <c r="T972" s="112"/>
      <c r="AC972" s="112"/>
    </row>
    <row r="973">
      <c r="A973" s="112"/>
      <c r="B973" s="124"/>
      <c r="J973" s="112"/>
      <c r="T973" s="112"/>
      <c r="AC973" s="112"/>
    </row>
    <row r="974">
      <c r="A974" s="112"/>
      <c r="B974" s="124"/>
      <c r="J974" s="112"/>
      <c r="T974" s="112"/>
      <c r="AC974" s="112"/>
    </row>
    <row r="975">
      <c r="A975" s="112"/>
      <c r="B975" s="124"/>
      <c r="J975" s="112"/>
      <c r="T975" s="112"/>
      <c r="AC975" s="112"/>
    </row>
    <row r="976">
      <c r="A976" s="112"/>
      <c r="B976" s="124"/>
      <c r="J976" s="112"/>
      <c r="T976" s="112"/>
      <c r="AC976" s="112"/>
    </row>
    <row r="977">
      <c r="A977" s="112"/>
      <c r="B977" s="124"/>
      <c r="J977" s="112"/>
      <c r="T977" s="112"/>
      <c r="AC977" s="112"/>
    </row>
    <row r="978">
      <c r="A978" s="112"/>
      <c r="B978" s="124"/>
      <c r="J978" s="112"/>
      <c r="T978" s="112"/>
      <c r="AC978" s="112"/>
    </row>
    <row r="979">
      <c r="A979" s="112"/>
      <c r="B979" s="124"/>
      <c r="J979" s="112"/>
      <c r="T979" s="112"/>
      <c r="AC979" s="112"/>
    </row>
    <row r="980">
      <c r="A980" s="112"/>
      <c r="B980" s="124"/>
      <c r="J980" s="112"/>
      <c r="T980" s="112"/>
      <c r="AC980" s="112"/>
    </row>
    <row r="981">
      <c r="A981" s="112"/>
      <c r="B981" s="124"/>
      <c r="J981" s="112"/>
      <c r="T981" s="112"/>
      <c r="AC981" s="112"/>
    </row>
    <row r="982">
      <c r="A982" s="112"/>
      <c r="B982" s="124"/>
      <c r="J982" s="112"/>
      <c r="T982" s="112"/>
      <c r="AC982" s="112"/>
    </row>
    <row r="983">
      <c r="A983" s="112"/>
      <c r="B983" s="124"/>
      <c r="J983" s="112"/>
      <c r="T983" s="112"/>
      <c r="AC983" s="112"/>
    </row>
    <row r="984">
      <c r="A984" s="112"/>
      <c r="B984" s="124"/>
      <c r="J984" s="112"/>
      <c r="T984" s="112"/>
      <c r="AC984" s="112"/>
    </row>
    <row r="985">
      <c r="A985" s="112"/>
      <c r="B985" s="124"/>
      <c r="J985" s="112"/>
      <c r="T985" s="112"/>
      <c r="AC985" s="112"/>
    </row>
    <row r="986">
      <c r="A986" s="112"/>
      <c r="B986" s="124"/>
      <c r="J986" s="112"/>
      <c r="T986" s="112"/>
      <c r="AC986" s="112"/>
    </row>
    <row r="987">
      <c r="A987" s="112"/>
      <c r="B987" s="124"/>
      <c r="J987" s="112"/>
      <c r="T987" s="112"/>
      <c r="AC987" s="112"/>
    </row>
    <row r="988">
      <c r="A988" s="112"/>
      <c r="B988" s="124"/>
      <c r="J988" s="112"/>
      <c r="T988" s="112"/>
      <c r="AC988" s="112"/>
    </row>
    <row r="989">
      <c r="A989" s="112"/>
      <c r="B989" s="124"/>
      <c r="J989" s="112"/>
      <c r="T989" s="112"/>
      <c r="AC989" s="112"/>
    </row>
    <row r="990">
      <c r="A990" s="112"/>
      <c r="B990" s="124"/>
      <c r="J990" s="112"/>
      <c r="T990" s="112"/>
      <c r="AC990" s="112"/>
    </row>
    <row r="991">
      <c r="A991" s="112"/>
      <c r="B991" s="124"/>
      <c r="J991" s="112"/>
      <c r="T991" s="112"/>
      <c r="AC991" s="112"/>
    </row>
    <row r="992">
      <c r="A992" s="112"/>
      <c r="B992" s="124"/>
      <c r="J992" s="112"/>
      <c r="T992" s="112"/>
      <c r="AC992" s="112"/>
    </row>
    <row r="993">
      <c r="A993" s="112"/>
      <c r="B993" s="124"/>
      <c r="J993" s="112"/>
      <c r="T993" s="112"/>
      <c r="AC993" s="112"/>
    </row>
    <row r="994">
      <c r="A994" s="112"/>
      <c r="B994" s="124"/>
      <c r="J994" s="112"/>
      <c r="T994" s="112"/>
      <c r="AC994" s="112"/>
    </row>
    <row r="995">
      <c r="A995" s="112"/>
      <c r="B995" s="124"/>
      <c r="J995" s="112"/>
      <c r="T995" s="112"/>
      <c r="AC995" s="112"/>
    </row>
    <row r="996">
      <c r="A996" s="112"/>
      <c r="B996" s="124"/>
      <c r="J996" s="112"/>
      <c r="T996" s="112"/>
      <c r="AC996" s="112"/>
    </row>
    <row r="997">
      <c r="A997" s="112"/>
      <c r="B997" s="124"/>
      <c r="J997" s="112"/>
      <c r="T997" s="112"/>
      <c r="AC997" s="112"/>
    </row>
    <row r="998">
      <c r="A998" s="112"/>
      <c r="B998" s="124"/>
      <c r="J998" s="112"/>
      <c r="T998" s="112"/>
      <c r="AC998" s="112"/>
    </row>
    <row r="999">
      <c r="A999" s="112"/>
      <c r="B999" s="124"/>
      <c r="J999" s="112"/>
      <c r="T999" s="112"/>
      <c r="AC999" s="112"/>
    </row>
    <row r="1000">
      <c r="T1000" s="112"/>
    </row>
  </sheetData>
  <conditionalFormatting sqref="K3 AV3 B4:B30 U4 AD4 AM4 BE4 BN4 BE8 AM29 AD43 U45 B46 AD73 K74 U75 B7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35.38"/>
    <col customWidth="1" min="4" max="4" width="62.13"/>
    <col customWidth="1" min="7" max="7" width="9.38"/>
    <col customWidth="1" min="8" max="8" width="11.63"/>
    <col customWidth="1" min="9" max="9" width="18.13"/>
    <col customWidth="1" min="10" max="10" width="19.13"/>
    <col customWidth="1" min="11" max="11" width="21.13"/>
    <col customWidth="1" min="13" max="13" width="6.88"/>
    <col customWidth="1" min="18" max="18" width="10.88"/>
    <col customWidth="1" min="21" max="21" width="14.38"/>
    <col customWidth="1" min="22" max="22" width="9.5"/>
    <col customWidth="1" min="23" max="23" width="11.88"/>
  </cols>
  <sheetData>
    <row r="1">
      <c r="A1" s="87" t="s">
        <v>1</v>
      </c>
      <c r="B1" s="88" t="s">
        <v>864</v>
      </c>
      <c r="C1" s="87" t="s">
        <v>865</v>
      </c>
      <c r="D1" s="87" t="s">
        <v>866</v>
      </c>
      <c r="E1" s="89"/>
      <c r="L1" s="89"/>
      <c r="S1" s="89"/>
      <c r="X1" s="89"/>
      <c r="Y1" s="89"/>
      <c r="Z1" s="89"/>
      <c r="AA1" s="89"/>
    </row>
    <row r="2">
      <c r="A2" s="39"/>
      <c r="B2" s="113"/>
      <c r="C2" s="39"/>
      <c r="D2" s="39"/>
    </row>
    <row r="3">
      <c r="A3" s="39"/>
      <c r="B3" s="113"/>
      <c r="C3" s="39"/>
      <c r="D3" s="39"/>
    </row>
    <row r="4">
      <c r="A4" s="39"/>
      <c r="B4" s="113"/>
      <c r="C4" s="39"/>
      <c r="D4" s="39"/>
    </row>
    <row r="5">
      <c r="A5" s="39"/>
      <c r="B5" s="113"/>
      <c r="C5" s="39"/>
      <c r="D5" s="39"/>
    </row>
    <row r="6">
      <c r="A6" s="39"/>
      <c r="B6" s="113"/>
      <c r="C6" s="39"/>
      <c r="D6" s="39"/>
    </row>
    <row r="7">
      <c r="A7" s="39"/>
      <c r="B7" s="113"/>
      <c r="C7" s="39"/>
      <c r="D7" s="39"/>
    </row>
    <row r="8">
      <c r="A8" s="39"/>
      <c r="B8" s="113"/>
      <c r="C8" s="39"/>
      <c r="D8" s="39"/>
    </row>
    <row r="9">
      <c r="A9" s="39"/>
      <c r="B9" s="113"/>
      <c r="C9" s="39"/>
      <c r="D9" s="39"/>
    </row>
    <row r="10">
      <c r="A10" s="39"/>
      <c r="B10" s="113"/>
      <c r="C10" s="39"/>
      <c r="D10" s="39"/>
    </row>
    <row r="11">
      <c r="A11" s="39"/>
      <c r="B11" s="113"/>
      <c r="C11" s="39"/>
      <c r="D11" s="39"/>
    </row>
    <row r="12">
      <c r="A12" s="39"/>
      <c r="B12" s="113"/>
      <c r="C12" s="39"/>
      <c r="D12" s="39"/>
    </row>
    <row r="13">
      <c r="A13" s="39"/>
      <c r="B13" s="113"/>
      <c r="C13" s="39"/>
      <c r="D13" s="39"/>
    </row>
    <row r="14">
      <c r="A14" s="39"/>
      <c r="B14" s="113"/>
      <c r="C14" s="39"/>
      <c r="D14" s="39"/>
    </row>
    <row r="15">
      <c r="A15" s="39"/>
      <c r="B15" s="113"/>
      <c r="C15" s="39"/>
      <c r="D15" s="39"/>
    </row>
    <row r="16">
      <c r="A16" s="39"/>
      <c r="B16" s="113"/>
      <c r="C16" s="39"/>
      <c r="D16" s="39"/>
    </row>
    <row r="17">
      <c r="A17" s="39"/>
      <c r="B17" s="113"/>
      <c r="C17" s="39"/>
      <c r="D17" s="39"/>
    </row>
    <row r="18">
      <c r="A18" s="39"/>
      <c r="B18" s="113"/>
      <c r="C18" s="39"/>
      <c r="D18" s="39"/>
    </row>
    <row r="19">
      <c r="A19" s="39"/>
      <c r="B19" s="113"/>
      <c r="C19" s="39"/>
      <c r="D19" s="39"/>
    </row>
    <row r="20">
      <c r="A20" s="39"/>
      <c r="B20" s="113"/>
      <c r="C20" s="39"/>
      <c r="D20" s="39"/>
    </row>
    <row r="21">
      <c r="A21" s="39"/>
      <c r="B21" s="113"/>
      <c r="C21" s="39"/>
      <c r="D21" s="39"/>
    </row>
    <row r="22">
      <c r="A22" s="39"/>
      <c r="B22" s="113"/>
      <c r="C22" s="39"/>
      <c r="D22" s="39"/>
    </row>
    <row r="23">
      <c r="A23" s="39"/>
      <c r="B23" s="113"/>
      <c r="C23" s="39"/>
      <c r="D23" s="39"/>
    </row>
    <row r="24">
      <c r="A24" s="39"/>
      <c r="B24" s="113"/>
      <c r="C24" s="39"/>
      <c r="D24" s="39"/>
    </row>
    <row r="25">
      <c r="A25" s="39"/>
      <c r="B25" s="113"/>
      <c r="C25" s="39"/>
      <c r="D25" s="39"/>
    </row>
    <row r="26">
      <c r="A26" s="39"/>
      <c r="B26" s="113"/>
      <c r="C26" s="39"/>
      <c r="D26" s="39"/>
    </row>
    <row r="27">
      <c r="A27" s="39"/>
      <c r="B27" s="113"/>
      <c r="C27" s="39"/>
      <c r="D27" s="39"/>
    </row>
    <row r="28">
      <c r="A28" s="39"/>
      <c r="B28" s="113"/>
      <c r="C28" s="39"/>
      <c r="D28" s="39"/>
    </row>
    <row r="29">
      <c r="A29" s="39"/>
      <c r="B29" s="113"/>
      <c r="C29" s="39"/>
      <c r="D29" s="39"/>
    </row>
    <row r="30">
      <c r="A30" s="39"/>
      <c r="B30" s="113"/>
      <c r="C30" s="39"/>
      <c r="D30" s="39"/>
    </row>
    <row r="31">
      <c r="A31" s="39"/>
      <c r="B31" s="113"/>
      <c r="C31" s="39"/>
      <c r="D31" s="39"/>
    </row>
    <row r="32">
      <c r="A32" s="39"/>
      <c r="B32" s="113"/>
      <c r="C32" s="39"/>
      <c r="D32" s="39"/>
    </row>
    <row r="33">
      <c r="A33" s="39"/>
      <c r="B33" s="113"/>
      <c r="C33" s="39"/>
      <c r="D33" s="39"/>
    </row>
    <row r="34">
      <c r="A34" s="39"/>
      <c r="B34" s="113"/>
      <c r="C34" s="39"/>
      <c r="D34" s="39"/>
    </row>
    <row r="35">
      <c r="A35" s="39"/>
      <c r="B35" s="113"/>
      <c r="C35" s="39"/>
      <c r="D35" s="39"/>
    </row>
    <row r="36">
      <c r="B36" s="20"/>
    </row>
    <row r="37">
      <c r="B37" s="20"/>
    </row>
    <row r="38">
      <c r="B38" s="20"/>
    </row>
    <row r="39">
      <c r="B39" s="20"/>
    </row>
    <row r="40">
      <c r="B40" s="20"/>
    </row>
    <row r="41">
      <c r="B41" s="20"/>
    </row>
    <row r="42">
      <c r="B42" s="20"/>
    </row>
    <row r="43">
      <c r="B43" s="20"/>
    </row>
    <row r="44">
      <c r="B44" s="20"/>
    </row>
    <row r="45">
      <c r="B45" s="20"/>
    </row>
    <row r="46">
      <c r="B46" s="20"/>
    </row>
    <row r="47">
      <c r="B47" s="20"/>
    </row>
    <row r="48">
      <c r="B48" s="20"/>
    </row>
    <row r="49">
      <c r="B49" s="20"/>
    </row>
    <row r="50">
      <c r="B50" s="20"/>
    </row>
    <row r="51">
      <c r="B51" s="20"/>
    </row>
    <row r="52">
      <c r="B52" s="20"/>
    </row>
    <row r="53">
      <c r="B53" s="20"/>
    </row>
    <row r="54">
      <c r="B54" s="20"/>
    </row>
    <row r="55">
      <c r="B55" s="20"/>
    </row>
    <row r="56">
      <c r="B56" s="20"/>
    </row>
    <row r="57">
      <c r="B57" s="20"/>
    </row>
    <row r="58">
      <c r="B58" s="20"/>
    </row>
    <row r="59">
      <c r="B59" s="20"/>
    </row>
    <row r="60">
      <c r="B60" s="20"/>
    </row>
    <row r="61">
      <c r="B61" s="20"/>
    </row>
    <row r="62">
      <c r="B62" s="20"/>
    </row>
    <row r="63">
      <c r="B63" s="20"/>
    </row>
    <row r="64">
      <c r="B64" s="20"/>
    </row>
    <row r="65">
      <c r="B65" s="20"/>
    </row>
    <row r="66">
      <c r="B66" s="20"/>
    </row>
    <row r="67">
      <c r="B67" s="20"/>
    </row>
    <row r="68">
      <c r="B68" s="20"/>
    </row>
    <row r="69">
      <c r="B69" s="20"/>
    </row>
    <row r="70">
      <c r="B70" s="20"/>
    </row>
    <row r="71">
      <c r="B71" s="20"/>
    </row>
    <row r="72">
      <c r="B72" s="20"/>
    </row>
    <row r="73">
      <c r="B73" s="20"/>
    </row>
    <row r="74">
      <c r="B74" s="20"/>
    </row>
    <row r="75">
      <c r="B75" s="20"/>
    </row>
    <row r="76">
      <c r="B76" s="20"/>
    </row>
    <row r="77">
      <c r="B77" s="20"/>
    </row>
    <row r="78">
      <c r="B78" s="20"/>
    </row>
    <row r="79">
      <c r="B79" s="20"/>
    </row>
    <row r="80">
      <c r="B80" s="20"/>
    </row>
    <row r="81">
      <c r="B81" s="20"/>
    </row>
    <row r="82">
      <c r="B82" s="20"/>
    </row>
    <row r="83">
      <c r="B83" s="20"/>
    </row>
    <row r="84">
      <c r="B84" s="20"/>
    </row>
    <row r="85">
      <c r="B85" s="20"/>
    </row>
    <row r="86">
      <c r="B86" s="20"/>
    </row>
    <row r="87">
      <c r="B87" s="20"/>
    </row>
    <row r="88">
      <c r="B88" s="20"/>
    </row>
    <row r="89">
      <c r="B89" s="20"/>
    </row>
    <row r="90">
      <c r="B90" s="20"/>
    </row>
    <row r="91">
      <c r="B91" s="20"/>
    </row>
    <row r="92">
      <c r="B92" s="20"/>
    </row>
    <row r="93">
      <c r="B93" s="20"/>
    </row>
    <row r="94">
      <c r="B94" s="20"/>
    </row>
    <row r="95">
      <c r="B95" s="20"/>
    </row>
    <row r="96">
      <c r="B96" s="20"/>
    </row>
    <row r="97">
      <c r="B97" s="20"/>
    </row>
    <row r="98">
      <c r="B98" s="20"/>
    </row>
    <row r="99">
      <c r="B99" s="20"/>
    </row>
    <row r="100">
      <c r="B100" s="20"/>
    </row>
    <row r="101">
      <c r="B101" s="20"/>
    </row>
    <row r="102">
      <c r="B102" s="20"/>
    </row>
    <row r="103">
      <c r="B103" s="20"/>
    </row>
    <row r="104">
      <c r="B104" s="20"/>
    </row>
    <row r="105">
      <c r="B105" s="20"/>
    </row>
    <row r="106">
      <c r="B106" s="20"/>
    </row>
    <row r="107">
      <c r="B107" s="20"/>
    </row>
    <row r="108">
      <c r="B108" s="20"/>
    </row>
    <row r="109">
      <c r="B109" s="20"/>
    </row>
    <row r="110">
      <c r="B110" s="20"/>
    </row>
    <row r="111">
      <c r="B111" s="20"/>
    </row>
    <row r="112">
      <c r="B112" s="20"/>
    </row>
    <row r="113">
      <c r="B113" s="20"/>
    </row>
    <row r="114">
      <c r="B114" s="20"/>
    </row>
    <row r="115">
      <c r="B115" s="20"/>
    </row>
    <row r="116">
      <c r="B116" s="20"/>
    </row>
    <row r="117">
      <c r="B117" s="20"/>
    </row>
    <row r="118">
      <c r="B118" s="20"/>
    </row>
    <row r="119">
      <c r="B119" s="20"/>
    </row>
    <row r="120">
      <c r="B120" s="20"/>
    </row>
    <row r="121">
      <c r="B121" s="20"/>
    </row>
    <row r="122">
      <c r="B122" s="20"/>
    </row>
    <row r="123">
      <c r="B123" s="20"/>
    </row>
    <row r="124">
      <c r="B124" s="20"/>
    </row>
    <row r="125">
      <c r="B125" s="20"/>
    </row>
    <row r="126">
      <c r="B126" s="20"/>
    </row>
    <row r="127">
      <c r="B127" s="20"/>
    </row>
    <row r="128">
      <c r="B128" s="20"/>
    </row>
    <row r="129">
      <c r="B129" s="20"/>
    </row>
    <row r="130">
      <c r="B130" s="20"/>
    </row>
    <row r="131">
      <c r="B131" s="20"/>
    </row>
    <row r="132">
      <c r="B132" s="20"/>
    </row>
    <row r="133">
      <c r="B133" s="20"/>
    </row>
    <row r="134">
      <c r="B134" s="20"/>
    </row>
    <row r="135">
      <c r="B135" s="20"/>
    </row>
    <row r="136">
      <c r="B136" s="20"/>
    </row>
    <row r="137">
      <c r="B137" s="20"/>
    </row>
    <row r="138">
      <c r="B138" s="20"/>
    </row>
    <row r="139">
      <c r="B139" s="20"/>
    </row>
    <row r="140">
      <c r="B140" s="20"/>
    </row>
    <row r="141">
      <c r="B141" s="20"/>
    </row>
    <row r="142">
      <c r="B142" s="20"/>
    </row>
    <row r="143">
      <c r="B143" s="20"/>
    </row>
    <row r="144">
      <c r="B144" s="20"/>
    </row>
    <row r="145">
      <c r="B145" s="20"/>
    </row>
    <row r="146">
      <c r="B146" s="20"/>
    </row>
    <row r="147">
      <c r="B147" s="20"/>
    </row>
    <row r="148">
      <c r="B148" s="20"/>
    </row>
    <row r="149">
      <c r="B149" s="20"/>
    </row>
    <row r="150">
      <c r="B150" s="20"/>
    </row>
    <row r="151">
      <c r="B151" s="20"/>
    </row>
    <row r="152">
      <c r="B152" s="20"/>
    </row>
    <row r="153">
      <c r="B153" s="20"/>
    </row>
    <row r="154">
      <c r="B154" s="20"/>
    </row>
    <row r="155">
      <c r="B155" s="20"/>
    </row>
    <row r="156">
      <c r="B156" s="20"/>
    </row>
    <row r="157">
      <c r="B157" s="20"/>
    </row>
    <row r="158">
      <c r="B158" s="20"/>
    </row>
    <row r="159">
      <c r="B159" s="20"/>
    </row>
    <row r="160">
      <c r="B160" s="20"/>
    </row>
    <row r="161">
      <c r="B161" s="20"/>
    </row>
    <row r="162">
      <c r="B162" s="20"/>
    </row>
    <row r="163">
      <c r="B163" s="20"/>
    </row>
    <row r="164">
      <c r="B164" s="20"/>
    </row>
    <row r="165">
      <c r="B165" s="20"/>
    </row>
    <row r="166">
      <c r="B166" s="20"/>
    </row>
    <row r="167">
      <c r="B167" s="20"/>
    </row>
    <row r="168">
      <c r="B168" s="20"/>
    </row>
    <row r="169">
      <c r="B169" s="20"/>
    </row>
    <row r="170">
      <c r="B170" s="20"/>
    </row>
    <row r="171">
      <c r="B171" s="20"/>
    </row>
    <row r="172">
      <c r="B172" s="20"/>
    </row>
    <row r="173">
      <c r="B173" s="20"/>
    </row>
    <row r="174">
      <c r="B174" s="20"/>
    </row>
    <row r="175">
      <c r="B175" s="20"/>
    </row>
    <row r="176">
      <c r="B176" s="20"/>
    </row>
    <row r="177">
      <c r="B177" s="20"/>
    </row>
    <row r="178">
      <c r="B178" s="20"/>
    </row>
    <row r="179">
      <c r="B179" s="20"/>
    </row>
    <row r="180">
      <c r="B180" s="20"/>
    </row>
    <row r="181">
      <c r="B181" s="20"/>
    </row>
    <row r="182">
      <c r="B182" s="20"/>
    </row>
    <row r="183">
      <c r="B183" s="20"/>
    </row>
    <row r="184">
      <c r="B184" s="20"/>
    </row>
    <row r="185">
      <c r="B185" s="20"/>
    </row>
    <row r="186">
      <c r="B186" s="20"/>
    </row>
    <row r="187">
      <c r="B187" s="20"/>
    </row>
    <row r="188">
      <c r="B188" s="20"/>
    </row>
    <row r="189">
      <c r="B189" s="20"/>
    </row>
    <row r="190">
      <c r="B190" s="20"/>
    </row>
    <row r="191">
      <c r="B191" s="20"/>
    </row>
    <row r="192">
      <c r="B192" s="20"/>
    </row>
    <row r="193">
      <c r="B193" s="20"/>
    </row>
    <row r="194">
      <c r="B194" s="20"/>
    </row>
    <row r="195">
      <c r="B195" s="20"/>
    </row>
    <row r="196">
      <c r="B196" s="20"/>
    </row>
    <row r="197">
      <c r="B197" s="20"/>
    </row>
    <row r="198">
      <c r="B198" s="20"/>
    </row>
    <row r="199">
      <c r="B199" s="20"/>
    </row>
    <row r="200">
      <c r="B200" s="20"/>
    </row>
    <row r="201">
      <c r="B201" s="20"/>
    </row>
    <row r="202">
      <c r="B202" s="20"/>
    </row>
    <row r="203">
      <c r="B203" s="20"/>
    </row>
    <row r="204">
      <c r="B204" s="20"/>
    </row>
    <row r="205">
      <c r="B205" s="20"/>
    </row>
    <row r="206">
      <c r="B206" s="20"/>
    </row>
    <row r="207">
      <c r="B207" s="20"/>
    </row>
    <row r="208">
      <c r="B208" s="20"/>
    </row>
    <row r="209">
      <c r="B209" s="20"/>
    </row>
    <row r="210">
      <c r="B210" s="20"/>
    </row>
    <row r="211">
      <c r="B211" s="20"/>
    </row>
    <row r="212">
      <c r="B212" s="20"/>
    </row>
    <row r="213">
      <c r="B213" s="20"/>
    </row>
    <row r="214">
      <c r="B214" s="20"/>
    </row>
    <row r="215">
      <c r="B215" s="20"/>
    </row>
    <row r="216">
      <c r="B216" s="20"/>
    </row>
    <row r="217">
      <c r="B217" s="20"/>
    </row>
    <row r="218">
      <c r="B218" s="20"/>
    </row>
    <row r="219">
      <c r="B219" s="20"/>
    </row>
    <row r="220">
      <c r="B220" s="20"/>
    </row>
    <row r="221">
      <c r="B221" s="20"/>
    </row>
    <row r="222">
      <c r="B222" s="20"/>
    </row>
    <row r="223">
      <c r="B223" s="20"/>
    </row>
    <row r="224">
      <c r="B224" s="20"/>
    </row>
    <row r="225">
      <c r="B225" s="20"/>
    </row>
    <row r="226">
      <c r="B226" s="20"/>
    </row>
    <row r="227">
      <c r="B227" s="20"/>
    </row>
    <row r="228">
      <c r="B228" s="20"/>
    </row>
    <row r="229">
      <c r="B229" s="20"/>
    </row>
    <row r="230">
      <c r="B230" s="20"/>
    </row>
    <row r="231">
      <c r="B231" s="20"/>
    </row>
    <row r="232">
      <c r="B232" s="20"/>
    </row>
    <row r="233">
      <c r="B233" s="20"/>
    </row>
    <row r="234">
      <c r="B234" s="20"/>
    </row>
    <row r="235">
      <c r="B235" s="20"/>
    </row>
    <row r="236">
      <c r="B236" s="20"/>
    </row>
    <row r="237">
      <c r="B237" s="20"/>
    </row>
    <row r="238">
      <c r="B238" s="20"/>
    </row>
    <row r="239">
      <c r="B239" s="20"/>
    </row>
    <row r="240">
      <c r="B240" s="20"/>
    </row>
    <row r="241">
      <c r="B241" s="20"/>
    </row>
    <row r="242">
      <c r="B242" s="20"/>
    </row>
    <row r="243">
      <c r="B243" s="20"/>
    </row>
    <row r="244">
      <c r="B244" s="20"/>
    </row>
    <row r="245">
      <c r="B245" s="20"/>
    </row>
    <row r="246">
      <c r="B246" s="20"/>
    </row>
    <row r="247">
      <c r="B247" s="20"/>
    </row>
    <row r="248">
      <c r="B248" s="20"/>
    </row>
    <row r="249">
      <c r="B249" s="20"/>
    </row>
    <row r="250">
      <c r="B250" s="20"/>
    </row>
    <row r="251">
      <c r="B251" s="20"/>
    </row>
    <row r="252">
      <c r="B252" s="20"/>
    </row>
    <row r="253">
      <c r="B253" s="20"/>
    </row>
    <row r="254">
      <c r="B254" s="20"/>
    </row>
    <row r="255">
      <c r="B255" s="20"/>
    </row>
    <row r="256">
      <c r="B256" s="20"/>
    </row>
    <row r="257">
      <c r="B257" s="20"/>
    </row>
    <row r="258">
      <c r="B258" s="20"/>
    </row>
    <row r="259">
      <c r="B259" s="20"/>
    </row>
    <row r="260">
      <c r="B260" s="20"/>
    </row>
    <row r="261">
      <c r="B261" s="20"/>
    </row>
    <row r="262">
      <c r="B262" s="20"/>
    </row>
    <row r="263">
      <c r="B263" s="20"/>
    </row>
    <row r="264">
      <c r="B264" s="20"/>
    </row>
    <row r="265">
      <c r="B265" s="20"/>
    </row>
    <row r="266">
      <c r="B266" s="20"/>
    </row>
    <row r="267">
      <c r="B267" s="20"/>
    </row>
    <row r="268">
      <c r="B268" s="20"/>
    </row>
    <row r="269">
      <c r="B269" s="20"/>
    </row>
    <row r="270">
      <c r="B270" s="20"/>
    </row>
    <row r="271">
      <c r="B271" s="20"/>
    </row>
    <row r="272">
      <c r="B272" s="20"/>
    </row>
    <row r="273">
      <c r="B273" s="20"/>
    </row>
    <row r="274">
      <c r="B274" s="20"/>
    </row>
    <row r="275">
      <c r="B275" s="20"/>
    </row>
    <row r="276">
      <c r="B276" s="20"/>
    </row>
    <row r="277">
      <c r="B277" s="20"/>
    </row>
    <row r="278">
      <c r="B278" s="20"/>
    </row>
    <row r="279">
      <c r="B279" s="20"/>
    </row>
    <row r="280">
      <c r="B280" s="20"/>
    </row>
    <row r="281">
      <c r="B281" s="20"/>
    </row>
    <row r="282">
      <c r="B282" s="20"/>
    </row>
    <row r="283">
      <c r="B283" s="20"/>
    </row>
    <row r="284">
      <c r="B284" s="20"/>
    </row>
    <row r="285">
      <c r="B285" s="20"/>
    </row>
    <row r="286">
      <c r="B286" s="20"/>
    </row>
    <row r="287">
      <c r="B287" s="20"/>
    </row>
    <row r="288">
      <c r="B288" s="20"/>
    </row>
    <row r="289">
      <c r="B289" s="20"/>
    </row>
    <row r="290">
      <c r="B290" s="20"/>
    </row>
    <row r="291">
      <c r="B291" s="20"/>
    </row>
    <row r="292">
      <c r="B292" s="20"/>
    </row>
    <row r="293">
      <c r="B293" s="20"/>
    </row>
    <row r="294">
      <c r="B294" s="20"/>
    </row>
    <row r="295">
      <c r="B295" s="20"/>
    </row>
    <row r="296">
      <c r="B296" s="20"/>
    </row>
    <row r="297">
      <c r="B297" s="20"/>
    </row>
    <row r="298">
      <c r="B298" s="20"/>
    </row>
    <row r="299">
      <c r="B299" s="20"/>
    </row>
    <row r="300">
      <c r="B300" s="20"/>
    </row>
    <row r="301">
      <c r="B301" s="20"/>
    </row>
    <row r="302">
      <c r="B302" s="20"/>
    </row>
    <row r="303">
      <c r="B303" s="20"/>
    </row>
    <row r="304">
      <c r="B304" s="20"/>
    </row>
    <row r="305">
      <c r="B305" s="20"/>
    </row>
    <row r="306">
      <c r="B306" s="20"/>
    </row>
    <row r="307">
      <c r="B307" s="20"/>
    </row>
    <row r="308">
      <c r="B308" s="20"/>
    </row>
    <row r="309">
      <c r="B309" s="20"/>
    </row>
    <row r="310">
      <c r="B310" s="20"/>
    </row>
    <row r="311">
      <c r="B311" s="20"/>
    </row>
    <row r="312">
      <c r="B312" s="20"/>
    </row>
    <row r="313">
      <c r="B313" s="20"/>
    </row>
    <row r="314">
      <c r="B314" s="20"/>
    </row>
    <row r="315">
      <c r="B315" s="20"/>
    </row>
    <row r="316">
      <c r="B316" s="20"/>
    </row>
    <row r="317">
      <c r="B317" s="20"/>
    </row>
    <row r="318">
      <c r="B318" s="20"/>
    </row>
    <row r="319">
      <c r="B319" s="20"/>
    </row>
    <row r="320">
      <c r="B320" s="20"/>
    </row>
    <row r="321">
      <c r="B321" s="20"/>
    </row>
    <row r="322">
      <c r="B322" s="20"/>
    </row>
    <row r="323">
      <c r="B323" s="20"/>
    </row>
    <row r="324">
      <c r="B324" s="20"/>
    </row>
    <row r="325">
      <c r="B325" s="20"/>
    </row>
    <row r="326">
      <c r="B326" s="20"/>
    </row>
    <row r="327">
      <c r="B327" s="20"/>
    </row>
    <row r="328">
      <c r="B328" s="20"/>
    </row>
    <row r="329">
      <c r="B329" s="20"/>
    </row>
    <row r="330">
      <c r="B330" s="20"/>
    </row>
    <row r="331">
      <c r="B331" s="20"/>
    </row>
    <row r="332">
      <c r="B332" s="20"/>
    </row>
    <row r="333">
      <c r="B333" s="20"/>
    </row>
    <row r="334">
      <c r="B334" s="20"/>
    </row>
    <row r="335">
      <c r="B335" s="20"/>
    </row>
    <row r="336">
      <c r="B336" s="20"/>
    </row>
    <row r="337">
      <c r="B337" s="20"/>
    </row>
    <row r="338">
      <c r="B338" s="20"/>
    </row>
    <row r="339">
      <c r="B339" s="20"/>
    </row>
    <row r="340">
      <c r="B340" s="20"/>
    </row>
    <row r="341">
      <c r="B341" s="20"/>
    </row>
    <row r="342">
      <c r="B342" s="20"/>
    </row>
    <row r="343">
      <c r="B343" s="20"/>
    </row>
    <row r="344">
      <c r="B344" s="20"/>
    </row>
    <row r="345">
      <c r="B345" s="20"/>
    </row>
    <row r="346">
      <c r="B346" s="20"/>
    </row>
    <row r="347">
      <c r="B347" s="20"/>
    </row>
    <row r="348">
      <c r="B348" s="20"/>
    </row>
    <row r="349">
      <c r="B349" s="20"/>
    </row>
    <row r="350">
      <c r="B350" s="20"/>
    </row>
    <row r="351">
      <c r="B351" s="20"/>
    </row>
    <row r="352">
      <c r="B352" s="20"/>
    </row>
    <row r="353">
      <c r="B353" s="20"/>
    </row>
    <row r="354">
      <c r="B354" s="20"/>
    </row>
    <row r="355">
      <c r="B355" s="20"/>
    </row>
    <row r="356">
      <c r="B356" s="20"/>
    </row>
    <row r="357">
      <c r="B357" s="20"/>
    </row>
    <row r="358">
      <c r="B358" s="20"/>
    </row>
    <row r="359">
      <c r="B359" s="20"/>
    </row>
    <row r="360">
      <c r="B360" s="20"/>
    </row>
    <row r="361">
      <c r="B361" s="20"/>
    </row>
    <row r="362">
      <c r="B362" s="20"/>
    </row>
    <row r="363">
      <c r="B363" s="20"/>
    </row>
    <row r="364">
      <c r="B364" s="20"/>
    </row>
    <row r="365">
      <c r="B365" s="20"/>
    </row>
    <row r="366">
      <c r="B366" s="20"/>
    </row>
    <row r="367">
      <c r="B367" s="20"/>
    </row>
    <row r="368">
      <c r="B368" s="20"/>
    </row>
    <row r="369">
      <c r="B369" s="20"/>
    </row>
    <row r="370">
      <c r="B370" s="20"/>
    </row>
    <row r="371">
      <c r="B371" s="20"/>
    </row>
    <row r="372">
      <c r="B372" s="20"/>
    </row>
    <row r="373">
      <c r="B373" s="20"/>
    </row>
    <row r="374">
      <c r="B374" s="20"/>
    </row>
    <row r="375">
      <c r="B375" s="20"/>
    </row>
    <row r="376">
      <c r="B376" s="20"/>
    </row>
    <row r="377">
      <c r="B377" s="20"/>
    </row>
    <row r="378">
      <c r="B378" s="20"/>
    </row>
    <row r="379">
      <c r="B379" s="20"/>
    </row>
    <row r="380">
      <c r="B380" s="20"/>
    </row>
    <row r="381">
      <c r="B381" s="20"/>
    </row>
    <row r="382">
      <c r="B382" s="20"/>
    </row>
    <row r="383">
      <c r="B383" s="20"/>
    </row>
    <row r="384">
      <c r="B384" s="20"/>
    </row>
    <row r="385">
      <c r="B385" s="20"/>
    </row>
    <row r="386">
      <c r="B386" s="20"/>
    </row>
    <row r="387">
      <c r="B387" s="20"/>
    </row>
    <row r="388">
      <c r="B388" s="20"/>
    </row>
    <row r="389">
      <c r="B389" s="20"/>
    </row>
    <row r="390">
      <c r="B390" s="20"/>
    </row>
    <row r="391">
      <c r="B391" s="20"/>
    </row>
    <row r="392">
      <c r="B392" s="20"/>
    </row>
    <row r="393">
      <c r="B393" s="20"/>
    </row>
    <row r="394">
      <c r="B394" s="20"/>
    </row>
    <row r="395">
      <c r="B395" s="20"/>
    </row>
    <row r="396">
      <c r="B396" s="20"/>
    </row>
    <row r="397">
      <c r="B397" s="20"/>
    </row>
    <row r="398">
      <c r="B398" s="20"/>
    </row>
    <row r="399">
      <c r="B399" s="20"/>
    </row>
    <row r="400">
      <c r="B400" s="20"/>
    </row>
    <row r="401">
      <c r="B401" s="20"/>
    </row>
    <row r="402">
      <c r="B402" s="20"/>
    </row>
    <row r="403">
      <c r="B403" s="20"/>
    </row>
    <row r="404">
      <c r="B404" s="20"/>
    </row>
    <row r="405">
      <c r="B405" s="20"/>
    </row>
    <row r="406">
      <c r="B406" s="20"/>
    </row>
    <row r="407">
      <c r="B407" s="20"/>
    </row>
    <row r="408">
      <c r="B408" s="20"/>
    </row>
    <row r="409">
      <c r="B409" s="20"/>
    </row>
    <row r="410">
      <c r="B410" s="20"/>
    </row>
    <row r="411">
      <c r="B411" s="20"/>
    </row>
    <row r="412">
      <c r="B412" s="20"/>
    </row>
    <row r="413">
      <c r="B413" s="20"/>
    </row>
    <row r="414">
      <c r="B414" s="20"/>
    </row>
    <row r="415">
      <c r="B415" s="20"/>
    </row>
    <row r="416">
      <c r="B416" s="20"/>
    </row>
    <row r="417">
      <c r="B417" s="20"/>
    </row>
    <row r="418">
      <c r="B418" s="20"/>
    </row>
    <row r="419">
      <c r="B419" s="20"/>
    </row>
    <row r="420">
      <c r="B420" s="20"/>
    </row>
    <row r="421">
      <c r="B421" s="20"/>
    </row>
    <row r="422">
      <c r="B422" s="20"/>
    </row>
    <row r="423">
      <c r="B423" s="20"/>
    </row>
    <row r="424">
      <c r="B424" s="20"/>
    </row>
    <row r="425">
      <c r="B425" s="20"/>
    </row>
    <row r="426">
      <c r="B426" s="20"/>
    </row>
    <row r="427">
      <c r="B427" s="20"/>
    </row>
    <row r="428">
      <c r="B428" s="20"/>
    </row>
    <row r="429">
      <c r="B429" s="20"/>
    </row>
    <row r="430">
      <c r="B430" s="20"/>
    </row>
    <row r="431">
      <c r="B431" s="20"/>
    </row>
    <row r="432">
      <c r="B432" s="20"/>
    </row>
    <row r="433">
      <c r="B433" s="20"/>
    </row>
    <row r="434">
      <c r="B434" s="20"/>
    </row>
    <row r="435">
      <c r="B435" s="20"/>
    </row>
    <row r="436">
      <c r="B436" s="20"/>
    </row>
    <row r="437">
      <c r="B437" s="20"/>
    </row>
    <row r="438">
      <c r="B438" s="20"/>
    </row>
    <row r="439">
      <c r="B439" s="20"/>
    </row>
    <row r="440">
      <c r="B440" s="20"/>
    </row>
    <row r="441">
      <c r="B441" s="20"/>
    </row>
    <row r="442">
      <c r="B442" s="20"/>
    </row>
    <row r="443">
      <c r="B443" s="20"/>
    </row>
    <row r="444">
      <c r="B444" s="20"/>
    </row>
    <row r="445">
      <c r="B445" s="20"/>
    </row>
    <row r="446">
      <c r="B446" s="20"/>
    </row>
    <row r="447">
      <c r="B447" s="20"/>
    </row>
    <row r="448">
      <c r="B448" s="20"/>
    </row>
    <row r="449">
      <c r="B449" s="20"/>
    </row>
    <row r="450">
      <c r="B450" s="20"/>
    </row>
    <row r="451">
      <c r="B451" s="20"/>
    </row>
    <row r="452">
      <c r="B452" s="20"/>
    </row>
    <row r="453">
      <c r="B453" s="20"/>
    </row>
    <row r="454">
      <c r="B454" s="20"/>
    </row>
    <row r="455">
      <c r="B455" s="20"/>
    </row>
    <row r="456">
      <c r="B456" s="20"/>
    </row>
    <row r="457">
      <c r="B457" s="20"/>
    </row>
    <row r="458">
      <c r="B458" s="20"/>
    </row>
    <row r="459">
      <c r="B459" s="20"/>
    </row>
    <row r="460">
      <c r="B460" s="20"/>
    </row>
    <row r="461">
      <c r="B461" s="20"/>
    </row>
    <row r="462">
      <c r="B462" s="20"/>
    </row>
    <row r="463">
      <c r="B463" s="20"/>
    </row>
    <row r="464">
      <c r="B464" s="20"/>
    </row>
    <row r="465">
      <c r="B465" s="20"/>
    </row>
    <row r="466">
      <c r="B466" s="20"/>
    </row>
    <row r="467">
      <c r="B467" s="20"/>
    </row>
    <row r="468">
      <c r="B468" s="20"/>
    </row>
    <row r="469">
      <c r="B469" s="20"/>
    </row>
    <row r="470">
      <c r="B470" s="20"/>
    </row>
    <row r="471">
      <c r="B471" s="20"/>
    </row>
    <row r="472">
      <c r="B472" s="20"/>
    </row>
    <row r="473">
      <c r="B473" s="20"/>
    </row>
    <row r="474">
      <c r="B474" s="20"/>
    </row>
    <row r="475">
      <c r="B475" s="20"/>
    </row>
    <row r="476">
      <c r="B476" s="20"/>
    </row>
    <row r="477">
      <c r="B477" s="20"/>
    </row>
    <row r="478">
      <c r="B478" s="20"/>
    </row>
    <row r="479">
      <c r="B479" s="20"/>
    </row>
    <row r="480">
      <c r="B480" s="20"/>
    </row>
    <row r="481">
      <c r="B481" s="20"/>
    </row>
    <row r="482">
      <c r="B482" s="20"/>
    </row>
    <row r="483">
      <c r="B483" s="20"/>
    </row>
    <row r="484">
      <c r="B484" s="20"/>
    </row>
    <row r="485">
      <c r="B485" s="20"/>
    </row>
    <row r="486">
      <c r="B486" s="20"/>
    </row>
    <row r="487">
      <c r="B487" s="20"/>
    </row>
    <row r="488">
      <c r="B488" s="20"/>
    </row>
    <row r="489">
      <c r="B489" s="20"/>
    </row>
    <row r="490">
      <c r="B490" s="20"/>
    </row>
    <row r="491">
      <c r="B491" s="20"/>
    </row>
    <row r="492">
      <c r="B492" s="20"/>
    </row>
    <row r="493">
      <c r="B493" s="20"/>
    </row>
    <row r="494">
      <c r="B494" s="20"/>
    </row>
    <row r="495">
      <c r="B495" s="20"/>
    </row>
    <row r="496">
      <c r="B496" s="20"/>
    </row>
    <row r="497">
      <c r="B497" s="20"/>
    </row>
    <row r="498">
      <c r="B498" s="20"/>
    </row>
    <row r="499">
      <c r="B499" s="20"/>
    </row>
    <row r="500">
      <c r="B500" s="20"/>
    </row>
    <row r="501">
      <c r="B501" s="20"/>
    </row>
    <row r="502">
      <c r="B502" s="20"/>
    </row>
    <row r="503">
      <c r="B503" s="20"/>
    </row>
    <row r="504">
      <c r="B504" s="20"/>
    </row>
    <row r="505">
      <c r="B505" s="20"/>
    </row>
    <row r="506">
      <c r="B506" s="20"/>
    </row>
    <row r="507">
      <c r="B507" s="20"/>
    </row>
    <row r="508">
      <c r="B508" s="20"/>
    </row>
    <row r="509">
      <c r="B509" s="20"/>
    </row>
    <row r="510">
      <c r="B510" s="20"/>
    </row>
    <row r="511">
      <c r="B511" s="20"/>
    </row>
    <row r="512">
      <c r="B512" s="20"/>
    </row>
    <row r="513">
      <c r="B513" s="20"/>
    </row>
    <row r="514">
      <c r="B514" s="20"/>
    </row>
    <row r="515">
      <c r="B515" s="20"/>
    </row>
    <row r="516">
      <c r="B516" s="20"/>
    </row>
    <row r="517">
      <c r="B517" s="20"/>
    </row>
    <row r="518">
      <c r="B518" s="20"/>
    </row>
    <row r="519">
      <c r="B519" s="20"/>
    </row>
    <row r="520">
      <c r="B520" s="20"/>
    </row>
    <row r="521">
      <c r="B521" s="20"/>
    </row>
    <row r="522">
      <c r="B522" s="20"/>
    </row>
    <row r="523">
      <c r="B523" s="20"/>
    </row>
    <row r="524">
      <c r="B524" s="20"/>
    </row>
    <row r="525">
      <c r="B525" s="20"/>
    </row>
    <row r="526">
      <c r="B526" s="20"/>
    </row>
    <row r="527">
      <c r="B527" s="20"/>
    </row>
    <row r="528">
      <c r="B528" s="20"/>
    </row>
    <row r="529">
      <c r="B529" s="20"/>
    </row>
    <row r="530">
      <c r="B530" s="20"/>
    </row>
    <row r="531">
      <c r="B531" s="20"/>
    </row>
    <row r="532">
      <c r="B532" s="20"/>
    </row>
    <row r="533">
      <c r="B533" s="20"/>
    </row>
    <row r="534">
      <c r="B534" s="20"/>
    </row>
    <row r="535">
      <c r="B535" s="20"/>
    </row>
    <row r="536">
      <c r="B536" s="20"/>
    </row>
    <row r="537">
      <c r="B537" s="20"/>
    </row>
    <row r="538">
      <c r="B538" s="20"/>
    </row>
    <row r="539">
      <c r="B539" s="20"/>
    </row>
    <row r="540">
      <c r="B540" s="20"/>
    </row>
    <row r="541">
      <c r="B541" s="20"/>
    </row>
    <row r="542">
      <c r="B542" s="20"/>
    </row>
    <row r="543">
      <c r="B543" s="20"/>
    </row>
    <row r="544">
      <c r="B544" s="20"/>
    </row>
    <row r="545">
      <c r="B545" s="20"/>
    </row>
    <row r="546">
      <c r="B546" s="20"/>
    </row>
    <row r="547">
      <c r="B547" s="20"/>
    </row>
    <row r="548">
      <c r="B548" s="20"/>
    </row>
    <row r="549">
      <c r="B549" s="20"/>
    </row>
    <row r="550">
      <c r="B550" s="20"/>
    </row>
    <row r="551">
      <c r="B551" s="20"/>
    </row>
    <row r="552">
      <c r="B552" s="20"/>
    </row>
    <row r="553">
      <c r="B553" s="20"/>
    </row>
    <row r="554">
      <c r="B554" s="20"/>
    </row>
    <row r="555">
      <c r="B555" s="20"/>
    </row>
    <row r="556">
      <c r="B556" s="20"/>
    </row>
    <row r="557">
      <c r="B557" s="20"/>
    </row>
    <row r="558">
      <c r="B558" s="20"/>
    </row>
    <row r="559">
      <c r="B559" s="20"/>
    </row>
    <row r="560">
      <c r="B560" s="20"/>
    </row>
    <row r="561">
      <c r="B561" s="20"/>
    </row>
    <row r="562">
      <c r="B562" s="20"/>
    </row>
    <row r="563">
      <c r="B563" s="20"/>
    </row>
    <row r="564">
      <c r="B564" s="20"/>
    </row>
    <row r="565">
      <c r="B565" s="20"/>
    </row>
    <row r="566">
      <c r="B566" s="20"/>
    </row>
    <row r="567">
      <c r="B567" s="20"/>
    </row>
    <row r="568">
      <c r="B568" s="20"/>
    </row>
    <row r="569">
      <c r="B569" s="20"/>
    </row>
    <row r="570">
      <c r="B570" s="20"/>
    </row>
    <row r="571">
      <c r="B571" s="20"/>
    </row>
    <row r="572">
      <c r="B572" s="20"/>
    </row>
    <row r="573">
      <c r="B573" s="20"/>
    </row>
    <row r="574">
      <c r="B574" s="20"/>
    </row>
    <row r="575">
      <c r="B575" s="20"/>
    </row>
    <row r="576">
      <c r="B576" s="20"/>
    </row>
    <row r="577">
      <c r="B577" s="20"/>
    </row>
    <row r="578">
      <c r="B578" s="20"/>
    </row>
    <row r="579">
      <c r="B579" s="20"/>
    </row>
    <row r="580">
      <c r="B580" s="20"/>
    </row>
    <row r="581">
      <c r="B581" s="20"/>
    </row>
    <row r="582">
      <c r="B582" s="20"/>
    </row>
    <row r="583">
      <c r="B583" s="20"/>
    </row>
    <row r="584">
      <c r="B584" s="20"/>
    </row>
    <row r="585">
      <c r="B585" s="20"/>
    </row>
    <row r="586">
      <c r="B586" s="20"/>
    </row>
    <row r="587">
      <c r="B587" s="20"/>
    </row>
    <row r="588">
      <c r="B588" s="20"/>
    </row>
    <row r="589">
      <c r="B589" s="20"/>
    </row>
    <row r="590">
      <c r="B590" s="20"/>
    </row>
    <row r="591">
      <c r="B591" s="20"/>
    </row>
    <row r="592">
      <c r="B592" s="20"/>
    </row>
    <row r="593">
      <c r="B593" s="20"/>
    </row>
    <row r="594">
      <c r="B594" s="20"/>
    </row>
    <row r="595">
      <c r="B595" s="20"/>
    </row>
    <row r="596">
      <c r="B596" s="20"/>
    </row>
    <row r="597">
      <c r="B597" s="20"/>
    </row>
    <row r="598">
      <c r="B598" s="20"/>
    </row>
    <row r="599">
      <c r="B599" s="20"/>
    </row>
    <row r="600">
      <c r="B600" s="20"/>
    </row>
    <row r="601">
      <c r="B601" s="20"/>
    </row>
    <row r="602">
      <c r="B602" s="20"/>
    </row>
    <row r="603">
      <c r="B603" s="20"/>
    </row>
    <row r="604">
      <c r="B604" s="20"/>
    </row>
    <row r="605">
      <c r="B605" s="20"/>
    </row>
    <row r="606">
      <c r="B606" s="20"/>
    </row>
    <row r="607">
      <c r="B607" s="20"/>
    </row>
    <row r="608">
      <c r="B608" s="20"/>
    </row>
    <row r="609">
      <c r="B609" s="20"/>
    </row>
    <row r="610">
      <c r="B610" s="20"/>
    </row>
    <row r="611">
      <c r="B611" s="20"/>
    </row>
    <row r="612">
      <c r="B612" s="20"/>
    </row>
    <row r="613">
      <c r="B613" s="20"/>
    </row>
    <row r="614">
      <c r="B614" s="20"/>
    </row>
    <row r="615">
      <c r="B615" s="20"/>
    </row>
    <row r="616">
      <c r="B616" s="20"/>
    </row>
    <row r="617">
      <c r="B617" s="20"/>
    </row>
    <row r="618">
      <c r="B618" s="20"/>
    </row>
    <row r="619">
      <c r="B619" s="20"/>
    </row>
    <row r="620">
      <c r="B620" s="20"/>
    </row>
    <row r="621">
      <c r="B621" s="20"/>
    </row>
    <row r="622">
      <c r="B622" s="20"/>
    </row>
    <row r="623">
      <c r="B623" s="20"/>
    </row>
    <row r="624">
      <c r="B624" s="20"/>
    </row>
    <row r="625">
      <c r="B625" s="20"/>
    </row>
    <row r="626">
      <c r="B626" s="20"/>
    </row>
    <row r="627">
      <c r="B627" s="20"/>
    </row>
    <row r="628">
      <c r="B628" s="20"/>
    </row>
    <row r="629">
      <c r="B629" s="20"/>
    </row>
    <row r="630">
      <c r="B630" s="20"/>
    </row>
    <row r="631">
      <c r="B631" s="20"/>
    </row>
    <row r="632">
      <c r="B632" s="20"/>
    </row>
    <row r="633">
      <c r="B633" s="20"/>
    </row>
    <row r="634">
      <c r="B634" s="20"/>
    </row>
    <row r="635">
      <c r="B635" s="20"/>
    </row>
    <row r="636">
      <c r="B636" s="20"/>
    </row>
    <row r="637">
      <c r="B637" s="20"/>
    </row>
    <row r="638">
      <c r="B638" s="20"/>
    </row>
    <row r="639">
      <c r="B639" s="20"/>
    </row>
    <row r="640">
      <c r="B640" s="20"/>
    </row>
    <row r="641">
      <c r="B641" s="20"/>
    </row>
    <row r="642">
      <c r="B642" s="20"/>
    </row>
    <row r="643">
      <c r="B643" s="20"/>
    </row>
    <row r="644">
      <c r="B644" s="20"/>
    </row>
    <row r="645">
      <c r="B645" s="20"/>
    </row>
    <row r="646">
      <c r="B646" s="20"/>
    </row>
    <row r="647">
      <c r="B647" s="20"/>
    </row>
    <row r="648">
      <c r="B648" s="20"/>
    </row>
    <row r="649">
      <c r="B649" s="20"/>
    </row>
    <row r="650">
      <c r="B650" s="20"/>
    </row>
    <row r="651">
      <c r="B651" s="20"/>
    </row>
    <row r="652">
      <c r="B652" s="20"/>
    </row>
    <row r="653">
      <c r="B653" s="20"/>
    </row>
    <row r="654">
      <c r="B654" s="20"/>
    </row>
    <row r="655">
      <c r="B655" s="20"/>
    </row>
    <row r="656">
      <c r="B656" s="20"/>
    </row>
    <row r="657">
      <c r="B657" s="20"/>
    </row>
    <row r="658">
      <c r="B658" s="20"/>
    </row>
    <row r="659">
      <c r="B659" s="20"/>
    </row>
    <row r="660">
      <c r="B660" s="20"/>
    </row>
    <row r="661">
      <c r="B661" s="20"/>
    </row>
    <row r="662">
      <c r="B662" s="20"/>
    </row>
    <row r="663">
      <c r="B663" s="20"/>
    </row>
    <row r="664">
      <c r="B664" s="20"/>
    </row>
    <row r="665">
      <c r="B665" s="20"/>
    </row>
    <row r="666">
      <c r="B666" s="20"/>
    </row>
    <row r="667">
      <c r="B667" s="20"/>
    </row>
    <row r="668">
      <c r="B668" s="20"/>
    </row>
    <row r="669">
      <c r="B669" s="20"/>
    </row>
    <row r="670">
      <c r="B670" s="20"/>
    </row>
    <row r="671">
      <c r="B671" s="20"/>
    </row>
    <row r="672">
      <c r="B672" s="20"/>
    </row>
    <row r="673">
      <c r="B673" s="20"/>
    </row>
    <row r="674">
      <c r="B674" s="20"/>
    </row>
    <row r="675">
      <c r="B675" s="20"/>
    </row>
    <row r="676">
      <c r="B676" s="20"/>
    </row>
    <row r="677">
      <c r="B677" s="20"/>
    </row>
    <row r="678">
      <c r="B678" s="20"/>
    </row>
    <row r="679">
      <c r="B679" s="20"/>
    </row>
    <row r="680">
      <c r="B680" s="20"/>
    </row>
    <row r="681">
      <c r="B681" s="20"/>
    </row>
    <row r="682">
      <c r="B682" s="20"/>
    </row>
    <row r="683">
      <c r="B683" s="20"/>
    </row>
    <row r="684">
      <c r="B684" s="20"/>
    </row>
    <row r="685">
      <c r="B685" s="20"/>
    </row>
    <row r="686">
      <c r="B686" s="20"/>
    </row>
    <row r="687">
      <c r="B687" s="20"/>
    </row>
    <row r="688">
      <c r="B688" s="20"/>
    </row>
    <row r="689">
      <c r="B689" s="20"/>
    </row>
    <row r="690">
      <c r="B690" s="20"/>
    </row>
    <row r="691">
      <c r="B691" s="20"/>
    </row>
    <row r="692">
      <c r="B692" s="20"/>
    </row>
    <row r="693">
      <c r="B693" s="20"/>
    </row>
    <row r="694">
      <c r="B694" s="20"/>
    </row>
    <row r="695">
      <c r="B695" s="20"/>
    </row>
    <row r="696">
      <c r="B696" s="20"/>
    </row>
    <row r="697">
      <c r="B697" s="20"/>
    </row>
    <row r="698">
      <c r="B698" s="20"/>
    </row>
    <row r="699">
      <c r="B699" s="20"/>
    </row>
    <row r="700">
      <c r="B700" s="20"/>
    </row>
    <row r="701">
      <c r="B701" s="20"/>
    </row>
    <row r="702">
      <c r="B702" s="20"/>
    </row>
    <row r="703">
      <c r="B703" s="20"/>
    </row>
    <row r="704">
      <c r="B704" s="20"/>
    </row>
    <row r="705">
      <c r="B705" s="20"/>
    </row>
    <row r="706">
      <c r="B706" s="20"/>
    </row>
    <row r="707">
      <c r="B707" s="20"/>
    </row>
    <row r="708">
      <c r="B708" s="20"/>
    </row>
    <row r="709">
      <c r="B709" s="20"/>
    </row>
    <row r="710">
      <c r="B710" s="20"/>
    </row>
    <row r="711">
      <c r="B711" s="20"/>
    </row>
    <row r="712">
      <c r="B712" s="20"/>
    </row>
    <row r="713">
      <c r="B713" s="20"/>
    </row>
    <row r="714">
      <c r="B714" s="20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728">
      <c r="B728" s="20"/>
    </row>
    <row r="729">
      <c r="B729" s="20"/>
    </row>
    <row r="730">
      <c r="B730" s="20"/>
    </row>
    <row r="731">
      <c r="B731" s="20"/>
    </row>
    <row r="732">
      <c r="B732" s="20"/>
    </row>
    <row r="733">
      <c r="B733" s="20"/>
    </row>
    <row r="734">
      <c r="B734" s="20"/>
    </row>
    <row r="735">
      <c r="B735" s="20"/>
    </row>
    <row r="736">
      <c r="B736" s="20"/>
    </row>
    <row r="737">
      <c r="B737" s="20"/>
    </row>
    <row r="738">
      <c r="B738" s="20"/>
    </row>
    <row r="739">
      <c r="B739" s="20"/>
    </row>
    <row r="740">
      <c r="B740" s="20"/>
    </row>
    <row r="741">
      <c r="B741" s="20"/>
    </row>
    <row r="742">
      <c r="B742" s="20"/>
    </row>
    <row r="743">
      <c r="B743" s="20"/>
    </row>
    <row r="744">
      <c r="B744" s="20"/>
    </row>
    <row r="745">
      <c r="B745" s="20"/>
    </row>
    <row r="746">
      <c r="B746" s="20"/>
    </row>
    <row r="747">
      <c r="B747" s="20"/>
    </row>
    <row r="748">
      <c r="B748" s="20"/>
    </row>
    <row r="749">
      <c r="B749" s="20"/>
    </row>
    <row r="750">
      <c r="B750" s="20"/>
    </row>
    <row r="751">
      <c r="B751" s="20"/>
    </row>
    <row r="752">
      <c r="B752" s="20"/>
    </row>
    <row r="753">
      <c r="B753" s="20"/>
    </row>
    <row r="754">
      <c r="B754" s="20"/>
    </row>
    <row r="755">
      <c r="B755" s="20"/>
    </row>
    <row r="756">
      <c r="B756" s="20"/>
    </row>
    <row r="757">
      <c r="B757" s="20"/>
    </row>
    <row r="758">
      <c r="B758" s="20"/>
    </row>
    <row r="759">
      <c r="B759" s="20"/>
    </row>
    <row r="760">
      <c r="B760" s="20"/>
    </row>
    <row r="761">
      <c r="B761" s="20"/>
    </row>
    <row r="762">
      <c r="B762" s="20"/>
    </row>
    <row r="763">
      <c r="B763" s="20"/>
    </row>
    <row r="764">
      <c r="B764" s="20"/>
    </row>
    <row r="765">
      <c r="B765" s="20"/>
    </row>
    <row r="766">
      <c r="B766" s="20"/>
    </row>
    <row r="767">
      <c r="B767" s="20"/>
    </row>
    <row r="768">
      <c r="B768" s="20"/>
    </row>
    <row r="769">
      <c r="B769" s="20"/>
    </row>
    <row r="770">
      <c r="B770" s="20"/>
    </row>
    <row r="771">
      <c r="B771" s="20"/>
    </row>
    <row r="772">
      <c r="B772" s="20"/>
    </row>
    <row r="773">
      <c r="B773" s="20"/>
    </row>
    <row r="774">
      <c r="B774" s="20"/>
    </row>
    <row r="775">
      <c r="B775" s="20"/>
    </row>
    <row r="776">
      <c r="B776" s="20"/>
    </row>
    <row r="777">
      <c r="B777" s="20"/>
    </row>
    <row r="778">
      <c r="B778" s="20"/>
    </row>
    <row r="779">
      <c r="B779" s="20"/>
    </row>
    <row r="780">
      <c r="B780" s="20"/>
    </row>
    <row r="781">
      <c r="B781" s="20"/>
    </row>
    <row r="782">
      <c r="B782" s="20"/>
    </row>
    <row r="783">
      <c r="B783" s="20"/>
    </row>
    <row r="784">
      <c r="B784" s="20"/>
    </row>
    <row r="785">
      <c r="B785" s="20"/>
    </row>
    <row r="786">
      <c r="B786" s="20"/>
    </row>
    <row r="787">
      <c r="B787" s="20"/>
    </row>
    <row r="788">
      <c r="B788" s="20"/>
    </row>
    <row r="789">
      <c r="B789" s="20"/>
    </row>
    <row r="790">
      <c r="B790" s="20"/>
    </row>
    <row r="791">
      <c r="B791" s="20"/>
    </row>
    <row r="792">
      <c r="B792" s="20"/>
    </row>
    <row r="793">
      <c r="B793" s="20"/>
    </row>
    <row r="794">
      <c r="B794" s="20"/>
    </row>
    <row r="795">
      <c r="B795" s="20"/>
    </row>
    <row r="796">
      <c r="B796" s="20"/>
    </row>
    <row r="797">
      <c r="B797" s="20"/>
    </row>
    <row r="798">
      <c r="B798" s="20"/>
    </row>
    <row r="799">
      <c r="B799" s="20"/>
    </row>
    <row r="800">
      <c r="B800" s="20"/>
    </row>
    <row r="801">
      <c r="B801" s="20"/>
    </row>
    <row r="802">
      <c r="B802" s="20"/>
    </row>
    <row r="803">
      <c r="B803" s="20"/>
    </row>
    <row r="804">
      <c r="B804" s="20"/>
    </row>
    <row r="805">
      <c r="B805" s="20"/>
    </row>
    <row r="806">
      <c r="B806" s="20"/>
    </row>
    <row r="807">
      <c r="B807" s="20"/>
    </row>
    <row r="808">
      <c r="B808" s="20"/>
    </row>
    <row r="809">
      <c r="B809" s="20"/>
    </row>
    <row r="810">
      <c r="B810" s="20"/>
    </row>
    <row r="811">
      <c r="B811" s="20"/>
    </row>
    <row r="812">
      <c r="B812" s="20"/>
    </row>
    <row r="813">
      <c r="B813" s="20"/>
    </row>
    <row r="814">
      <c r="B814" s="20"/>
    </row>
    <row r="815">
      <c r="B815" s="20"/>
    </row>
    <row r="816">
      <c r="B816" s="20"/>
    </row>
    <row r="817">
      <c r="B817" s="20"/>
    </row>
    <row r="818">
      <c r="B818" s="20"/>
    </row>
    <row r="819">
      <c r="B819" s="20"/>
    </row>
    <row r="820">
      <c r="B820" s="20"/>
    </row>
    <row r="821">
      <c r="B821" s="20"/>
    </row>
    <row r="822">
      <c r="B822" s="20"/>
    </row>
    <row r="823">
      <c r="B823" s="20"/>
    </row>
    <row r="824">
      <c r="B824" s="20"/>
    </row>
    <row r="825">
      <c r="B825" s="20"/>
    </row>
    <row r="826">
      <c r="B826" s="20"/>
    </row>
    <row r="827">
      <c r="B827" s="20"/>
    </row>
    <row r="828">
      <c r="B828" s="20"/>
    </row>
    <row r="829">
      <c r="B829" s="20"/>
    </row>
    <row r="830">
      <c r="B830" s="20"/>
    </row>
    <row r="831">
      <c r="B831" s="20"/>
    </row>
    <row r="832">
      <c r="B832" s="20"/>
    </row>
    <row r="833">
      <c r="B833" s="20"/>
    </row>
    <row r="834">
      <c r="B834" s="20"/>
    </row>
    <row r="835">
      <c r="B835" s="20"/>
    </row>
    <row r="836">
      <c r="B836" s="20"/>
    </row>
    <row r="837">
      <c r="B837" s="20"/>
    </row>
    <row r="838">
      <c r="B838" s="20"/>
    </row>
    <row r="839">
      <c r="B839" s="20"/>
    </row>
    <row r="840">
      <c r="B840" s="20"/>
    </row>
    <row r="841">
      <c r="B841" s="20"/>
    </row>
    <row r="842">
      <c r="B842" s="20"/>
    </row>
    <row r="843">
      <c r="B843" s="20"/>
    </row>
    <row r="844">
      <c r="B844" s="20"/>
    </row>
    <row r="845">
      <c r="B845" s="20"/>
    </row>
    <row r="846">
      <c r="B846" s="20"/>
    </row>
    <row r="847">
      <c r="B847" s="20"/>
    </row>
    <row r="848">
      <c r="B848" s="20"/>
    </row>
    <row r="849">
      <c r="B849" s="20"/>
    </row>
    <row r="850">
      <c r="B850" s="20"/>
    </row>
    <row r="851">
      <c r="B851" s="20"/>
    </row>
    <row r="852">
      <c r="B852" s="20"/>
    </row>
    <row r="853">
      <c r="B853" s="20"/>
    </row>
    <row r="854">
      <c r="B854" s="20"/>
    </row>
    <row r="855">
      <c r="B855" s="20"/>
    </row>
    <row r="856">
      <c r="B856" s="20"/>
    </row>
    <row r="857">
      <c r="B857" s="20"/>
    </row>
    <row r="858">
      <c r="B858" s="20"/>
    </row>
    <row r="859">
      <c r="B859" s="20"/>
    </row>
    <row r="860">
      <c r="B860" s="20"/>
    </row>
    <row r="861">
      <c r="B861" s="20"/>
    </row>
    <row r="862">
      <c r="B862" s="20"/>
    </row>
    <row r="863">
      <c r="B863" s="20"/>
    </row>
    <row r="864">
      <c r="B864" s="20"/>
    </row>
    <row r="865">
      <c r="B865" s="20"/>
    </row>
    <row r="866">
      <c r="B866" s="20"/>
    </row>
    <row r="867">
      <c r="B867" s="20"/>
    </row>
    <row r="868">
      <c r="B868" s="20"/>
    </row>
    <row r="869">
      <c r="B869" s="20"/>
    </row>
    <row r="870">
      <c r="B870" s="20"/>
    </row>
    <row r="871">
      <c r="B871" s="20"/>
    </row>
    <row r="872">
      <c r="B872" s="20"/>
    </row>
    <row r="873">
      <c r="B873" s="20"/>
    </row>
    <row r="874">
      <c r="B874" s="20"/>
    </row>
    <row r="875">
      <c r="B875" s="20"/>
    </row>
    <row r="876">
      <c r="B876" s="20"/>
    </row>
    <row r="877">
      <c r="B877" s="20"/>
    </row>
    <row r="878">
      <c r="B878" s="20"/>
    </row>
    <row r="879">
      <c r="B879" s="20"/>
    </row>
    <row r="880">
      <c r="B880" s="20"/>
    </row>
    <row r="881">
      <c r="B881" s="20"/>
    </row>
    <row r="882">
      <c r="B882" s="20"/>
    </row>
    <row r="883">
      <c r="B883" s="20"/>
    </row>
    <row r="884">
      <c r="B884" s="20"/>
    </row>
    <row r="885">
      <c r="B885" s="20"/>
    </row>
    <row r="886">
      <c r="B886" s="20"/>
    </row>
    <row r="887">
      <c r="B887" s="20"/>
    </row>
    <row r="888">
      <c r="B888" s="20"/>
    </row>
    <row r="889">
      <c r="B889" s="20"/>
    </row>
    <row r="890">
      <c r="B890" s="20"/>
    </row>
    <row r="891">
      <c r="B891" s="20"/>
    </row>
    <row r="892">
      <c r="B892" s="20"/>
    </row>
    <row r="893">
      <c r="B893" s="20"/>
    </row>
    <row r="894">
      <c r="B894" s="20"/>
    </row>
    <row r="895">
      <c r="B895" s="20"/>
    </row>
    <row r="896">
      <c r="B896" s="20"/>
    </row>
    <row r="897">
      <c r="B897" s="20"/>
    </row>
    <row r="898">
      <c r="B898" s="20"/>
    </row>
    <row r="899">
      <c r="B899" s="20"/>
    </row>
    <row r="900">
      <c r="B900" s="20"/>
    </row>
    <row r="901">
      <c r="B901" s="20"/>
    </row>
    <row r="902">
      <c r="B902" s="20"/>
    </row>
    <row r="903">
      <c r="B903" s="20"/>
    </row>
    <row r="904">
      <c r="B904" s="20"/>
    </row>
    <row r="905">
      <c r="B905" s="20"/>
    </row>
    <row r="906">
      <c r="B906" s="20"/>
    </row>
    <row r="907">
      <c r="B907" s="20"/>
    </row>
    <row r="908">
      <c r="B908" s="20"/>
    </row>
    <row r="909">
      <c r="B909" s="20"/>
    </row>
    <row r="910">
      <c r="B910" s="20"/>
    </row>
    <row r="911">
      <c r="B911" s="20"/>
    </row>
    <row r="912">
      <c r="B912" s="20"/>
    </row>
    <row r="913">
      <c r="B913" s="20"/>
    </row>
    <row r="914">
      <c r="B914" s="20"/>
    </row>
    <row r="915">
      <c r="B915" s="20"/>
    </row>
    <row r="916">
      <c r="B916" s="20"/>
    </row>
    <row r="917">
      <c r="B917" s="20"/>
    </row>
    <row r="918">
      <c r="B918" s="20"/>
    </row>
    <row r="919">
      <c r="B919" s="20"/>
    </row>
    <row r="920">
      <c r="B920" s="20"/>
    </row>
    <row r="921">
      <c r="B921" s="20"/>
    </row>
    <row r="922">
      <c r="B922" s="20"/>
    </row>
    <row r="923">
      <c r="B923" s="20"/>
    </row>
    <row r="924">
      <c r="B924" s="20"/>
    </row>
    <row r="925">
      <c r="B925" s="20"/>
    </row>
    <row r="926">
      <c r="B926" s="20"/>
    </row>
    <row r="927">
      <c r="B927" s="20"/>
    </row>
    <row r="928">
      <c r="B928" s="20"/>
    </row>
    <row r="929">
      <c r="B929" s="20"/>
    </row>
    <row r="930">
      <c r="B930" s="20"/>
    </row>
    <row r="931">
      <c r="B931" s="20"/>
    </row>
    <row r="932">
      <c r="B932" s="20"/>
    </row>
    <row r="933">
      <c r="B933" s="20"/>
    </row>
    <row r="934">
      <c r="B934" s="20"/>
    </row>
    <row r="935">
      <c r="B935" s="20"/>
    </row>
    <row r="936">
      <c r="B936" s="20"/>
    </row>
    <row r="937">
      <c r="B937" s="20"/>
    </row>
    <row r="938">
      <c r="B938" s="20"/>
    </row>
    <row r="939">
      <c r="B939" s="20"/>
    </row>
    <row r="940">
      <c r="B940" s="20"/>
    </row>
    <row r="941">
      <c r="B941" s="20"/>
    </row>
    <row r="942">
      <c r="B942" s="20"/>
    </row>
    <row r="943">
      <c r="B943" s="20"/>
    </row>
    <row r="944">
      <c r="B944" s="20"/>
    </row>
    <row r="945">
      <c r="B945" s="20"/>
    </row>
    <row r="946">
      <c r="B946" s="20"/>
    </row>
    <row r="947">
      <c r="B947" s="20"/>
    </row>
    <row r="948">
      <c r="B948" s="20"/>
    </row>
    <row r="949">
      <c r="B949" s="20"/>
    </row>
    <row r="950">
      <c r="B950" s="20"/>
    </row>
    <row r="951">
      <c r="B951" s="20"/>
    </row>
    <row r="952">
      <c r="B952" s="20"/>
    </row>
    <row r="953">
      <c r="B953" s="20"/>
    </row>
    <row r="954">
      <c r="B954" s="20"/>
    </row>
    <row r="955">
      <c r="B955" s="20"/>
    </row>
    <row r="956">
      <c r="B956" s="20"/>
    </row>
    <row r="957">
      <c r="B957" s="20"/>
    </row>
    <row r="958">
      <c r="B958" s="20"/>
    </row>
    <row r="959">
      <c r="B959" s="20"/>
    </row>
    <row r="960">
      <c r="B960" s="20"/>
    </row>
    <row r="961">
      <c r="B961" s="20"/>
    </row>
    <row r="962">
      <c r="B962" s="20"/>
    </row>
    <row r="963">
      <c r="B963" s="20"/>
    </row>
    <row r="964">
      <c r="B964" s="20"/>
    </row>
    <row r="965">
      <c r="B965" s="20"/>
    </row>
    <row r="966">
      <c r="B966" s="20"/>
    </row>
    <row r="967">
      <c r="B967" s="20"/>
    </row>
    <row r="968">
      <c r="B968" s="20"/>
    </row>
    <row r="969">
      <c r="B969" s="20"/>
    </row>
    <row r="970">
      <c r="B970" s="20"/>
    </row>
    <row r="971">
      <c r="B971" s="20"/>
    </row>
    <row r="972">
      <c r="B972" s="20"/>
    </row>
    <row r="973">
      <c r="B973" s="20"/>
    </row>
    <row r="974">
      <c r="B974" s="20"/>
    </row>
    <row r="975">
      <c r="B975" s="20"/>
    </row>
    <row r="976">
      <c r="B976" s="20"/>
    </row>
    <row r="977">
      <c r="B977" s="20"/>
    </row>
    <row r="978">
      <c r="B978" s="20"/>
    </row>
    <row r="979">
      <c r="B979" s="20"/>
    </row>
    <row r="980">
      <c r="B980" s="20"/>
    </row>
    <row r="981">
      <c r="B981" s="20"/>
    </row>
    <row r="982">
      <c r="B982" s="20"/>
    </row>
    <row r="983">
      <c r="B983" s="20"/>
    </row>
    <row r="984">
      <c r="B984" s="20"/>
    </row>
    <row r="985">
      <c r="B985" s="20"/>
    </row>
    <row r="986">
      <c r="B986" s="20"/>
    </row>
    <row r="987">
      <c r="B987" s="20"/>
    </row>
    <row r="988">
      <c r="B988" s="20"/>
    </row>
    <row r="989">
      <c r="B989" s="20"/>
    </row>
    <row r="990">
      <c r="B990" s="20"/>
    </row>
    <row r="991">
      <c r="B991" s="20"/>
    </row>
    <row r="992">
      <c r="B992" s="20"/>
    </row>
    <row r="993">
      <c r="B993" s="20"/>
    </row>
    <row r="994">
      <c r="B994" s="20"/>
    </row>
    <row r="995">
      <c r="B995" s="20"/>
    </row>
    <row r="996">
      <c r="B996" s="20"/>
    </row>
    <row r="997">
      <c r="B997" s="20"/>
    </row>
    <row r="998">
      <c r="B998" s="20"/>
    </row>
    <row r="999">
      <c r="B999" s="20"/>
    </row>
    <row r="1000">
      <c r="B1000" s="2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7.88"/>
    <col customWidth="1" min="7" max="7" width="27.5"/>
  </cols>
  <sheetData>
    <row r="1">
      <c r="A1" s="114" t="s">
        <v>0</v>
      </c>
      <c r="B1" s="115" t="s">
        <v>1</v>
      </c>
      <c r="C1" s="116" t="s">
        <v>910</v>
      </c>
      <c r="D1" s="116" t="s">
        <v>911</v>
      </c>
      <c r="E1" s="114" t="s">
        <v>912</v>
      </c>
      <c r="F1" s="117" t="s">
        <v>913</v>
      </c>
      <c r="G1" s="114" t="s">
        <v>914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37" t="s">
        <v>915</v>
      </c>
      <c r="B2" s="59">
        <v>45391.0</v>
      </c>
      <c r="C2" s="37" t="s">
        <v>916</v>
      </c>
      <c r="D2" s="37" t="s">
        <v>917</v>
      </c>
      <c r="E2" s="39"/>
      <c r="F2" s="49">
        <v>2000.0</v>
      </c>
      <c r="G2" s="39"/>
    </row>
    <row r="3">
      <c r="A3" s="37" t="s">
        <v>915</v>
      </c>
      <c r="B3" s="59">
        <v>45392.0</v>
      </c>
      <c r="C3" s="37" t="s">
        <v>916</v>
      </c>
      <c r="D3" s="37" t="s">
        <v>918</v>
      </c>
      <c r="E3" s="39"/>
      <c r="F3" s="49">
        <v>3000.0</v>
      </c>
      <c r="G3" s="39"/>
    </row>
    <row r="4">
      <c r="A4" s="37" t="s">
        <v>915</v>
      </c>
      <c r="B4" s="59">
        <v>45393.0</v>
      </c>
      <c r="C4" s="37" t="s">
        <v>916</v>
      </c>
      <c r="D4" s="37" t="s">
        <v>919</v>
      </c>
      <c r="E4" s="39"/>
      <c r="F4" s="49">
        <v>2000.0</v>
      </c>
      <c r="G4" s="39"/>
    </row>
    <row r="5">
      <c r="A5" s="37" t="s">
        <v>915</v>
      </c>
      <c r="B5" s="59">
        <v>45399.0</v>
      </c>
      <c r="C5" s="37" t="s">
        <v>916</v>
      </c>
      <c r="D5" s="37" t="s">
        <v>920</v>
      </c>
      <c r="E5" s="39"/>
      <c r="F5" s="49">
        <v>3000.0</v>
      </c>
      <c r="G5" s="39"/>
    </row>
    <row r="6">
      <c r="A6" s="37" t="s">
        <v>915</v>
      </c>
      <c r="B6" s="59">
        <v>45433.0</v>
      </c>
      <c r="C6" s="37" t="s">
        <v>916</v>
      </c>
      <c r="D6" s="37" t="s">
        <v>285</v>
      </c>
      <c r="E6" s="39"/>
      <c r="F6" s="49">
        <v>355.0</v>
      </c>
      <c r="G6" s="37" t="s">
        <v>921</v>
      </c>
    </row>
    <row r="7">
      <c r="A7" s="37" t="s">
        <v>915</v>
      </c>
      <c r="B7" s="59">
        <v>45674.0</v>
      </c>
      <c r="C7" s="37" t="s">
        <v>916</v>
      </c>
      <c r="D7" s="37" t="s">
        <v>917</v>
      </c>
      <c r="E7" s="39"/>
      <c r="F7" s="49">
        <v>3575.0</v>
      </c>
      <c r="G7" s="37" t="s">
        <v>922</v>
      </c>
    </row>
    <row r="8">
      <c r="A8" s="37" t="s">
        <v>915</v>
      </c>
      <c r="B8" s="59">
        <v>45730.0</v>
      </c>
      <c r="C8" s="37" t="s">
        <v>916</v>
      </c>
      <c r="D8" s="37" t="s">
        <v>918</v>
      </c>
      <c r="E8" s="39"/>
      <c r="F8" s="49">
        <v>3780.0</v>
      </c>
      <c r="G8" s="37"/>
    </row>
    <row r="9">
      <c r="A9" s="37" t="s">
        <v>915</v>
      </c>
      <c r="B9" s="59">
        <v>45763.0</v>
      </c>
      <c r="C9" s="37" t="s">
        <v>916</v>
      </c>
      <c r="D9" s="37" t="s">
        <v>287</v>
      </c>
      <c r="E9" s="39"/>
      <c r="F9" s="49">
        <v>450.0</v>
      </c>
      <c r="G9" s="37"/>
    </row>
    <row r="10">
      <c r="A10" s="37" t="s">
        <v>915</v>
      </c>
      <c r="B10" s="59">
        <v>45841.0</v>
      </c>
      <c r="C10" s="37" t="s">
        <v>923</v>
      </c>
      <c r="D10" s="37" t="s">
        <v>287</v>
      </c>
      <c r="E10" s="39"/>
      <c r="F10" s="49">
        <v>410.0</v>
      </c>
      <c r="G10" s="37" t="s">
        <v>921</v>
      </c>
    </row>
    <row r="11">
      <c r="A11" s="37" t="s">
        <v>915</v>
      </c>
      <c r="B11" s="59">
        <v>45841.0</v>
      </c>
      <c r="C11" s="37" t="s">
        <v>923</v>
      </c>
      <c r="D11" s="37" t="s">
        <v>288</v>
      </c>
      <c r="E11" s="39"/>
      <c r="F11" s="49">
        <v>320.0</v>
      </c>
      <c r="G11" s="37" t="s">
        <v>921</v>
      </c>
    </row>
    <row r="12">
      <c r="A12" s="37" t="s">
        <v>915</v>
      </c>
      <c r="B12" s="59">
        <v>45929.0</v>
      </c>
      <c r="C12" s="37" t="s">
        <v>916</v>
      </c>
      <c r="D12" s="37" t="s">
        <v>289</v>
      </c>
      <c r="E12" s="39"/>
      <c r="F12" s="49">
        <v>450.0</v>
      </c>
      <c r="G12" s="37" t="s">
        <v>924</v>
      </c>
    </row>
    <row r="13">
      <c r="A13" s="37" t="s">
        <v>915</v>
      </c>
      <c r="B13" s="59">
        <v>45930.0</v>
      </c>
      <c r="C13" s="37" t="s">
        <v>916</v>
      </c>
      <c r="D13" s="37" t="s">
        <v>296</v>
      </c>
      <c r="E13" s="39"/>
      <c r="F13" s="49">
        <v>400.0</v>
      </c>
      <c r="G13" s="37"/>
    </row>
    <row r="14">
      <c r="A14" s="37" t="s">
        <v>915</v>
      </c>
      <c r="B14" s="59">
        <v>45931.0</v>
      </c>
      <c r="C14" s="37" t="s">
        <v>916</v>
      </c>
      <c r="D14" s="37" t="s">
        <v>304</v>
      </c>
      <c r="E14" s="39"/>
      <c r="F14" s="49">
        <v>416.0</v>
      </c>
      <c r="G14" s="37"/>
    </row>
    <row r="15">
      <c r="A15" s="37" t="s">
        <v>915</v>
      </c>
      <c r="B15" s="59">
        <v>45932.0</v>
      </c>
      <c r="C15" s="37" t="s">
        <v>916</v>
      </c>
      <c r="D15" s="37" t="s">
        <v>317</v>
      </c>
      <c r="E15" s="39"/>
      <c r="F15" s="49">
        <v>420.0</v>
      </c>
      <c r="G15" s="37"/>
    </row>
    <row r="16">
      <c r="A16" s="37" t="s">
        <v>915</v>
      </c>
      <c r="B16" s="59">
        <v>45933.0</v>
      </c>
      <c r="C16" s="37" t="s">
        <v>916</v>
      </c>
      <c r="D16" s="37" t="s">
        <v>320</v>
      </c>
      <c r="E16" s="39"/>
      <c r="F16" s="51"/>
      <c r="G16" s="39"/>
    </row>
    <row r="17">
      <c r="A17" s="37" t="s">
        <v>915</v>
      </c>
      <c r="B17" s="59">
        <v>45943.0</v>
      </c>
      <c r="C17" s="37" t="s">
        <v>916</v>
      </c>
      <c r="D17" s="37" t="s">
        <v>328</v>
      </c>
      <c r="E17" s="39"/>
      <c r="F17" s="49">
        <v>415.0</v>
      </c>
      <c r="G17" s="37" t="s">
        <v>921</v>
      </c>
    </row>
    <row r="18">
      <c r="A18" s="37" t="s">
        <v>915</v>
      </c>
      <c r="B18" s="59">
        <v>45952.0</v>
      </c>
      <c r="C18" s="37" t="s">
        <v>916</v>
      </c>
      <c r="D18" s="37" t="s">
        <v>333</v>
      </c>
      <c r="E18" s="39"/>
      <c r="F18" s="49">
        <v>420.0</v>
      </c>
      <c r="G18" s="37" t="s">
        <v>921</v>
      </c>
    </row>
    <row r="19">
      <c r="A19" s="37" t="s">
        <v>915</v>
      </c>
      <c r="B19" s="59">
        <v>45966.0</v>
      </c>
      <c r="C19" s="37" t="s">
        <v>916</v>
      </c>
      <c r="D19" s="37" t="s">
        <v>336</v>
      </c>
      <c r="E19" s="39"/>
      <c r="F19" s="49">
        <v>410.0</v>
      </c>
      <c r="G19" s="37" t="s">
        <v>921</v>
      </c>
    </row>
    <row r="20">
      <c r="A20" s="37" t="s">
        <v>915</v>
      </c>
      <c r="B20" s="59">
        <v>45980.0</v>
      </c>
      <c r="C20" s="37" t="s">
        <v>916</v>
      </c>
      <c r="D20" s="37" t="s">
        <v>339</v>
      </c>
      <c r="E20" s="39"/>
      <c r="F20" s="49">
        <v>420.0</v>
      </c>
      <c r="G20" s="37" t="s">
        <v>921</v>
      </c>
    </row>
    <row r="21">
      <c r="A21" s="37" t="s">
        <v>915</v>
      </c>
      <c r="B21" s="59">
        <v>45986.0</v>
      </c>
      <c r="C21" s="37" t="s">
        <v>916</v>
      </c>
      <c r="D21" s="37" t="s">
        <v>343</v>
      </c>
      <c r="E21" s="39"/>
      <c r="F21" s="49">
        <v>423.0</v>
      </c>
      <c r="G21" s="37" t="s">
        <v>921</v>
      </c>
    </row>
    <row r="22">
      <c r="A22" s="37" t="s">
        <v>915</v>
      </c>
      <c r="B22" s="59">
        <v>45995.0</v>
      </c>
      <c r="C22" s="37" t="s">
        <v>916</v>
      </c>
      <c r="D22" s="37" t="s">
        <v>314</v>
      </c>
      <c r="E22" s="39"/>
      <c r="F22" s="49">
        <v>419.0</v>
      </c>
      <c r="G22" s="37" t="s">
        <v>921</v>
      </c>
    </row>
    <row r="23">
      <c r="A23" s="37" t="s">
        <v>915</v>
      </c>
      <c r="B23" s="59">
        <v>46001.0</v>
      </c>
      <c r="C23" s="37" t="s">
        <v>916</v>
      </c>
      <c r="D23" s="37" t="s">
        <v>312</v>
      </c>
      <c r="E23" s="39"/>
      <c r="F23" s="49">
        <v>405.0</v>
      </c>
      <c r="G23" s="37" t="s">
        <v>921</v>
      </c>
    </row>
    <row r="24">
      <c r="A24" s="37" t="s">
        <v>915</v>
      </c>
      <c r="B24" s="59">
        <v>46007.0</v>
      </c>
      <c r="C24" s="37" t="s">
        <v>916</v>
      </c>
      <c r="D24" s="37" t="s">
        <v>296</v>
      </c>
      <c r="E24" s="39"/>
      <c r="F24" s="49">
        <v>420.0</v>
      </c>
      <c r="G24" s="37" t="s">
        <v>921</v>
      </c>
    </row>
    <row r="25">
      <c r="A25" s="37" t="s">
        <v>915</v>
      </c>
      <c r="B25" s="59">
        <v>46013.0</v>
      </c>
      <c r="C25" s="37" t="s">
        <v>916</v>
      </c>
      <c r="D25" s="37" t="s">
        <v>304</v>
      </c>
      <c r="E25" s="39"/>
      <c r="F25" s="49">
        <v>432.0</v>
      </c>
      <c r="G25" s="37" t="s">
        <v>921</v>
      </c>
    </row>
    <row r="26">
      <c r="A26" s="37" t="s">
        <v>915</v>
      </c>
      <c r="B26" s="59">
        <v>46034.0</v>
      </c>
      <c r="C26" s="37" t="s">
        <v>916</v>
      </c>
      <c r="D26" s="37" t="s">
        <v>925</v>
      </c>
      <c r="E26" s="39"/>
      <c r="F26" s="49">
        <v>500.0</v>
      </c>
      <c r="G26" s="37" t="s">
        <v>921</v>
      </c>
    </row>
    <row r="27">
      <c r="A27" s="37" t="s">
        <v>915</v>
      </c>
      <c r="B27" s="59">
        <v>46035.0</v>
      </c>
      <c r="C27" s="37" t="s">
        <v>916</v>
      </c>
      <c r="D27" s="37" t="s">
        <v>925</v>
      </c>
      <c r="E27" s="39"/>
      <c r="F27" s="49">
        <v>500.0</v>
      </c>
      <c r="G27" s="37" t="s">
        <v>926</v>
      </c>
    </row>
    <row r="28">
      <c r="A28" s="37" t="s">
        <v>915</v>
      </c>
      <c r="B28" s="59">
        <v>46041.0</v>
      </c>
      <c r="C28" s="37" t="s">
        <v>916</v>
      </c>
      <c r="D28" s="37" t="s">
        <v>925</v>
      </c>
      <c r="E28" s="39"/>
      <c r="F28" s="49">
        <v>500.0</v>
      </c>
      <c r="G28" s="37" t="s">
        <v>926</v>
      </c>
    </row>
    <row r="29">
      <c r="A29" s="37" t="s">
        <v>915</v>
      </c>
      <c r="B29" s="59">
        <v>46044.0</v>
      </c>
      <c r="C29" s="37" t="s">
        <v>916</v>
      </c>
      <c r="D29" s="37" t="s">
        <v>925</v>
      </c>
      <c r="E29" s="39"/>
      <c r="F29" s="49">
        <v>500.0</v>
      </c>
      <c r="G29" s="37" t="s">
        <v>921</v>
      </c>
    </row>
    <row r="30">
      <c r="A30" s="37" t="s">
        <v>915</v>
      </c>
      <c r="B30" s="59">
        <v>46049.0</v>
      </c>
      <c r="C30" s="37" t="s">
        <v>916</v>
      </c>
      <c r="D30" s="37" t="s">
        <v>925</v>
      </c>
      <c r="E30" s="39"/>
      <c r="F30" s="49">
        <v>500.0</v>
      </c>
      <c r="G30" s="37" t="s">
        <v>921</v>
      </c>
    </row>
    <row r="31">
      <c r="A31" s="37" t="s">
        <v>915</v>
      </c>
      <c r="B31" s="59">
        <v>46052.0</v>
      </c>
      <c r="C31" s="37" t="s">
        <v>916</v>
      </c>
      <c r="D31" s="37" t="s">
        <v>927</v>
      </c>
      <c r="E31" s="39"/>
      <c r="F31" s="49">
        <v>513.0</v>
      </c>
      <c r="G31" s="37" t="s">
        <v>926</v>
      </c>
    </row>
    <row r="32">
      <c r="A32" s="37" t="s">
        <v>915</v>
      </c>
      <c r="B32" s="59">
        <v>46063.0</v>
      </c>
      <c r="C32" s="37" t="s">
        <v>916</v>
      </c>
      <c r="D32" s="37" t="s">
        <v>927</v>
      </c>
      <c r="E32" s="39"/>
      <c r="F32" s="49">
        <v>525.0</v>
      </c>
      <c r="G32" s="37" t="s">
        <v>928</v>
      </c>
    </row>
    <row r="33">
      <c r="A33" s="37" t="s">
        <v>915</v>
      </c>
      <c r="B33" s="59">
        <v>46064.0</v>
      </c>
      <c r="C33" s="37" t="s">
        <v>916</v>
      </c>
      <c r="D33" s="37" t="s">
        <v>927</v>
      </c>
      <c r="E33" s="39"/>
      <c r="F33" s="49">
        <v>583.0</v>
      </c>
      <c r="G33" s="37" t="s">
        <v>928</v>
      </c>
    </row>
    <row r="34">
      <c r="A34" s="37" t="s">
        <v>915</v>
      </c>
      <c r="B34" s="59">
        <v>46065.0</v>
      </c>
      <c r="C34" s="37" t="s">
        <v>916</v>
      </c>
      <c r="D34" s="37" t="s">
        <v>927</v>
      </c>
      <c r="E34" s="39"/>
      <c r="F34" s="49">
        <v>500.0</v>
      </c>
      <c r="G34" s="37" t="s">
        <v>928</v>
      </c>
    </row>
    <row r="35">
      <c r="A35" s="37" t="s">
        <v>915</v>
      </c>
      <c r="B35" s="59">
        <v>46066.0</v>
      </c>
      <c r="C35" s="37" t="s">
        <v>916</v>
      </c>
      <c r="D35" s="37" t="s">
        <v>927</v>
      </c>
      <c r="E35" s="39"/>
      <c r="F35" s="49">
        <v>500.0</v>
      </c>
      <c r="G35" s="37" t="s">
        <v>921</v>
      </c>
    </row>
    <row r="36">
      <c r="A36" s="37" t="s">
        <v>915</v>
      </c>
      <c r="B36" s="59">
        <v>46069.0</v>
      </c>
      <c r="C36" s="37" t="s">
        <v>916</v>
      </c>
      <c r="D36" s="37" t="s">
        <v>927</v>
      </c>
      <c r="E36" s="39"/>
      <c r="F36" s="49">
        <v>500.0</v>
      </c>
      <c r="G36" s="37" t="s">
        <v>921</v>
      </c>
    </row>
    <row r="37">
      <c r="A37" s="37" t="s">
        <v>915</v>
      </c>
      <c r="B37" s="59">
        <v>46072.0</v>
      </c>
      <c r="C37" s="37" t="s">
        <v>916</v>
      </c>
      <c r="D37" s="37" t="s">
        <v>336</v>
      </c>
      <c r="E37" s="39"/>
      <c r="F37" s="49">
        <v>485.0</v>
      </c>
      <c r="G37" s="37" t="s">
        <v>921</v>
      </c>
    </row>
    <row r="38">
      <c r="A38" s="37" t="s">
        <v>915</v>
      </c>
      <c r="B38" s="59">
        <v>46072.0</v>
      </c>
      <c r="C38" s="37" t="s">
        <v>916</v>
      </c>
      <c r="D38" s="37" t="s">
        <v>285</v>
      </c>
      <c r="E38" s="39"/>
      <c r="F38" s="49">
        <v>430.0</v>
      </c>
      <c r="G38" s="37" t="s">
        <v>921</v>
      </c>
    </row>
    <row r="39">
      <c r="A39" s="37" t="s">
        <v>915</v>
      </c>
      <c r="B39" s="59">
        <v>46077.0</v>
      </c>
      <c r="C39" s="37" t="s">
        <v>916</v>
      </c>
      <c r="D39" s="37" t="s">
        <v>288</v>
      </c>
      <c r="E39" s="39"/>
      <c r="F39" s="49">
        <v>400.0</v>
      </c>
      <c r="G39" s="39"/>
    </row>
    <row r="40">
      <c r="A40" s="37" t="s">
        <v>915</v>
      </c>
      <c r="B40" s="59">
        <v>46077.0</v>
      </c>
      <c r="C40" s="37" t="s">
        <v>916</v>
      </c>
      <c r="D40" s="37" t="s">
        <v>287</v>
      </c>
      <c r="E40" s="39"/>
      <c r="F40" s="49">
        <v>425.0</v>
      </c>
      <c r="G40" s="39"/>
    </row>
    <row r="41">
      <c r="A41" s="37" t="s">
        <v>915</v>
      </c>
      <c r="B41" s="59">
        <v>46079.0</v>
      </c>
      <c r="C41" s="37" t="s">
        <v>916</v>
      </c>
      <c r="D41" s="37" t="s">
        <v>289</v>
      </c>
      <c r="E41" s="39"/>
      <c r="F41" s="49">
        <v>450.0</v>
      </c>
      <c r="G41" s="39"/>
    </row>
    <row r="42">
      <c r="A42" s="37" t="s">
        <v>915</v>
      </c>
      <c r="B42" s="59">
        <v>46091.0</v>
      </c>
      <c r="C42" s="37" t="s">
        <v>916</v>
      </c>
      <c r="D42" s="37" t="s">
        <v>312</v>
      </c>
      <c r="E42" s="39"/>
      <c r="F42" s="49">
        <v>400.0</v>
      </c>
      <c r="G42" s="39"/>
    </row>
    <row r="43">
      <c r="A43" s="37" t="s">
        <v>915</v>
      </c>
      <c r="B43" s="118">
        <v>46092.0</v>
      </c>
      <c r="C43" s="37" t="s">
        <v>916</v>
      </c>
      <c r="D43" s="37" t="s">
        <v>344</v>
      </c>
      <c r="E43" s="39"/>
      <c r="F43" s="49">
        <v>400.0</v>
      </c>
      <c r="G43" s="39"/>
    </row>
    <row r="44">
      <c r="A44" s="37" t="s">
        <v>915</v>
      </c>
      <c r="B44" s="118">
        <v>46093.0</v>
      </c>
      <c r="C44" s="37" t="s">
        <v>916</v>
      </c>
      <c r="D44" s="37" t="s">
        <v>343</v>
      </c>
      <c r="E44" s="39"/>
      <c r="F44" s="49">
        <v>400.0</v>
      </c>
      <c r="G44" s="39"/>
    </row>
    <row r="45">
      <c r="A45" s="37" t="s">
        <v>915</v>
      </c>
      <c r="B45" s="118">
        <v>46093.0</v>
      </c>
      <c r="C45" s="37" t="s">
        <v>916</v>
      </c>
      <c r="D45" s="37" t="s">
        <v>339</v>
      </c>
      <c r="E45" s="39"/>
      <c r="F45" s="49">
        <v>400.0</v>
      </c>
      <c r="G45" s="39"/>
    </row>
    <row r="46">
      <c r="A46" s="37" t="s">
        <v>915</v>
      </c>
      <c r="B46" s="118">
        <v>46099.0</v>
      </c>
      <c r="C46" s="37" t="s">
        <v>916</v>
      </c>
      <c r="D46" s="37" t="s">
        <v>345</v>
      </c>
      <c r="E46" s="39"/>
      <c r="F46" s="49">
        <v>400.0</v>
      </c>
      <c r="G46" s="39"/>
    </row>
    <row r="47">
      <c r="A47" s="37" t="s">
        <v>915</v>
      </c>
      <c r="B47" s="118">
        <v>46120.0</v>
      </c>
      <c r="C47" s="37" t="s">
        <v>916</v>
      </c>
      <c r="D47" s="37" t="s">
        <v>296</v>
      </c>
      <c r="E47" s="39"/>
      <c r="F47" s="49">
        <v>400.0</v>
      </c>
      <c r="G47" s="39"/>
    </row>
    <row r="48">
      <c r="A48" s="37" t="s">
        <v>915</v>
      </c>
      <c r="B48" s="118">
        <v>46121.0</v>
      </c>
      <c r="C48" s="37" t="s">
        <v>916</v>
      </c>
      <c r="D48" s="37" t="s">
        <v>304</v>
      </c>
      <c r="E48" s="39"/>
      <c r="F48" s="49">
        <v>400.0</v>
      </c>
      <c r="G48" s="39"/>
    </row>
    <row r="49">
      <c r="A49" s="37" t="s">
        <v>915</v>
      </c>
      <c r="B49" s="118">
        <v>46136.0</v>
      </c>
      <c r="C49" s="37" t="s">
        <v>916</v>
      </c>
      <c r="D49" s="37" t="s">
        <v>333</v>
      </c>
      <c r="E49" s="39"/>
      <c r="F49" s="49">
        <v>400.0</v>
      </c>
      <c r="G49" s="37" t="s">
        <v>929</v>
      </c>
    </row>
    <row r="50">
      <c r="A50" s="37" t="s">
        <v>915</v>
      </c>
      <c r="B50" s="118">
        <v>46136.0</v>
      </c>
      <c r="C50" s="37" t="s">
        <v>916</v>
      </c>
      <c r="D50" s="37" t="s">
        <v>306</v>
      </c>
      <c r="E50" s="39"/>
      <c r="F50" s="49">
        <v>450.0</v>
      </c>
      <c r="G50" s="37" t="s">
        <v>929</v>
      </c>
    </row>
    <row r="51">
      <c r="A51" s="37" t="s">
        <v>915</v>
      </c>
      <c r="B51" s="118">
        <v>46139.0</v>
      </c>
      <c r="C51" s="37" t="s">
        <v>916</v>
      </c>
      <c r="D51" s="37" t="s">
        <v>328</v>
      </c>
      <c r="E51" s="39"/>
      <c r="F51" s="49">
        <v>450.0</v>
      </c>
      <c r="G51" s="37" t="s">
        <v>929</v>
      </c>
    </row>
    <row r="52">
      <c r="A52" s="37" t="s">
        <v>915</v>
      </c>
      <c r="B52" s="118">
        <v>46141.0</v>
      </c>
      <c r="C52" s="37" t="s">
        <v>916</v>
      </c>
      <c r="D52" s="37" t="s">
        <v>317</v>
      </c>
      <c r="E52" s="39"/>
      <c r="F52" s="49">
        <v>450.0</v>
      </c>
      <c r="G52" s="37" t="s">
        <v>929</v>
      </c>
    </row>
    <row r="53">
      <c r="A53" s="37" t="s">
        <v>915</v>
      </c>
      <c r="B53" s="118">
        <v>46142.0</v>
      </c>
      <c r="C53" s="37" t="s">
        <v>916</v>
      </c>
      <c r="D53" s="37" t="s">
        <v>314</v>
      </c>
      <c r="E53" s="39"/>
      <c r="F53" s="49">
        <v>450.0</v>
      </c>
      <c r="G53" s="37" t="s">
        <v>929</v>
      </c>
    </row>
    <row r="54">
      <c r="A54" s="37" t="s">
        <v>915</v>
      </c>
      <c r="B54" s="118">
        <v>46153.0</v>
      </c>
      <c r="C54" s="37" t="s">
        <v>916</v>
      </c>
      <c r="D54" s="37" t="s">
        <v>320</v>
      </c>
      <c r="E54" s="39"/>
      <c r="F54" s="49">
        <v>435.0</v>
      </c>
      <c r="G54" s="37" t="s">
        <v>930</v>
      </c>
    </row>
    <row r="55">
      <c r="A55" s="37" t="s">
        <v>915</v>
      </c>
      <c r="B55" s="118">
        <v>46155.0</v>
      </c>
      <c r="C55" s="37" t="s">
        <v>916</v>
      </c>
      <c r="D55" s="37" t="s">
        <v>336</v>
      </c>
      <c r="E55" s="39"/>
      <c r="F55" s="49">
        <v>435.0</v>
      </c>
      <c r="G55" s="37" t="s">
        <v>931</v>
      </c>
    </row>
    <row r="56">
      <c r="A56" s="37" t="s">
        <v>915</v>
      </c>
      <c r="B56" s="118">
        <v>46156.0</v>
      </c>
      <c r="C56" s="37" t="s">
        <v>916</v>
      </c>
      <c r="D56" s="37" t="s">
        <v>339</v>
      </c>
      <c r="E56" s="39"/>
      <c r="F56" s="49">
        <v>435.0</v>
      </c>
      <c r="G56" s="37" t="s">
        <v>932</v>
      </c>
    </row>
    <row r="57">
      <c r="A57" s="37" t="s">
        <v>915</v>
      </c>
      <c r="B57" s="118">
        <v>46189.0</v>
      </c>
      <c r="C57" s="37" t="s">
        <v>916</v>
      </c>
      <c r="D57" s="37" t="s">
        <v>285</v>
      </c>
      <c r="E57" s="39"/>
      <c r="F57" s="49">
        <v>450.0</v>
      </c>
      <c r="G57" s="37" t="s">
        <v>933</v>
      </c>
    </row>
    <row r="58">
      <c r="A58" s="37" t="s">
        <v>915</v>
      </c>
      <c r="B58" s="118">
        <v>46192.0</v>
      </c>
      <c r="C58" s="37" t="s">
        <v>916</v>
      </c>
      <c r="D58" s="37" t="s">
        <v>343</v>
      </c>
      <c r="E58" s="39"/>
      <c r="F58" s="49">
        <v>455.0</v>
      </c>
      <c r="G58" s="37" t="s">
        <v>934</v>
      </c>
    </row>
    <row r="59">
      <c r="A59" s="37" t="s">
        <v>915</v>
      </c>
      <c r="B59" s="118">
        <v>46199.0</v>
      </c>
      <c r="C59" s="37" t="s">
        <v>916</v>
      </c>
      <c r="D59" s="37" t="s">
        <v>312</v>
      </c>
      <c r="E59" s="39"/>
      <c r="F59" s="49">
        <v>435.0</v>
      </c>
      <c r="G59" s="37" t="s">
        <v>935</v>
      </c>
    </row>
    <row r="60">
      <c r="A60" s="37" t="s">
        <v>915</v>
      </c>
      <c r="B60" s="118">
        <v>46202.0</v>
      </c>
      <c r="C60" s="37" t="s">
        <v>916</v>
      </c>
      <c r="D60" s="37" t="s">
        <v>287</v>
      </c>
      <c r="E60" s="39"/>
      <c r="F60" s="49">
        <v>428.0</v>
      </c>
      <c r="G60" s="37" t="s">
        <v>931</v>
      </c>
    </row>
    <row r="61">
      <c r="A61" s="37" t="s">
        <v>915</v>
      </c>
      <c r="B61" s="118">
        <v>46202.0</v>
      </c>
      <c r="C61" s="37" t="s">
        <v>916</v>
      </c>
      <c r="D61" s="37" t="s">
        <v>288</v>
      </c>
      <c r="E61" s="39"/>
      <c r="F61" s="49">
        <v>450.0</v>
      </c>
      <c r="G61" s="37" t="s">
        <v>931</v>
      </c>
    </row>
    <row r="62">
      <c r="A62" s="37" t="s">
        <v>915</v>
      </c>
      <c r="B62" s="118">
        <v>46210.0</v>
      </c>
      <c r="C62" s="37" t="s">
        <v>916</v>
      </c>
      <c r="D62" s="37" t="s">
        <v>289</v>
      </c>
      <c r="E62" s="39"/>
      <c r="F62" s="49">
        <v>450.0</v>
      </c>
      <c r="G62" s="37" t="s">
        <v>936</v>
      </c>
    </row>
    <row r="63">
      <c r="A63" s="39"/>
      <c r="B63" s="39"/>
      <c r="C63" s="39"/>
      <c r="D63" s="39"/>
      <c r="E63" s="39"/>
      <c r="F63" s="51"/>
      <c r="G63" s="39"/>
    </row>
    <row r="64">
      <c r="A64" s="39"/>
      <c r="B64" s="39"/>
      <c r="C64" s="39"/>
      <c r="D64" s="39"/>
      <c r="E64" s="39"/>
      <c r="F64" s="51"/>
      <c r="G64" s="39"/>
    </row>
    <row r="65">
      <c r="A65" s="39"/>
      <c r="B65" s="39"/>
      <c r="C65" s="39"/>
      <c r="D65" s="39"/>
      <c r="E65" s="39"/>
      <c r="F65" s="51"/>
      <c r="G65" s="39"/>
    </row>
    <row r="66">
      <c r="A66" s="39"/>
      <c r="B66" s="39"/>
      <c r="C66" s="39"/>
      <c r="D66" s="39"/>
      <c r="E66" s="39"/>
      <c r="F66" s="51"/>
      <c r="G66" s="39"/>
    </row>
    <row r="67">
      <c r="A67" s="39"/>
      <c r="B67" s="39"/>
      <c r="C67" s="39"/>
      <c r="D67" s="39"/>
      <c r="E67" s="39"/>
      <c r="F67" s="51"/>
      <c r="G67" s="39"/>
    </row>
    <row r="68">
      <c r="A68" s="39"/>
      <c r="B68" s="39"/>
      <c r="C68" s="39"/>
      <c r="D68" s="39"/>
      <c r="E68" s="39"/>
      <c r="F68" s="51"/>
      <c r="G68" s="39"/>
    </row>
    <row r="69">
      <c r="A69" s="39"/>
      <c r="B69" s="39"/>
      <c r="C69" s="39"/>
      <c r="D69" s="39"/>
      <c r="E69" s="39"/>
      <c r="F69" s="51"/>
      <c r="G69" s="39"/>
    </row>
    <row r="70">
      <c r="A70" s="39"/>
      <c r="B70" s="39"/>
      <c r="C70" s="39"/>
      <c r="D70" s="39"/>
      <c r="E70" s="39"/>
      <c r="F70" s="51"/>
      <c r="G70" s="39"/>
    </row>
    <row r="71">
      <c r="A71" s="39"/>
      <c r="B71" s="39"/>
      <c r="C71" s="39"/>
      <c r="D71" s="39"/>
      <c r="E71" s="39"/>
      <c r="F71" s="51"/>
      <c r="G71" s="39"/>
    </row>
    <row r="72">
      <c r="A72" s="39"/>
      <c r="B72" s="39"/>
      <c r="C72" s="39"/>
      <c r="D72" s="39"/>
      <c r="E72" s="39"/>
      <c r="F72" s="51"/>
      <c r="G72" s="39"/>
    </row>
    <row r="73">
      <c r="A73" s="39"/>
      <c r="B73" s="39"/>
      <c r="C73" s="39"/>
      <c r="D73" s="39"/>
      <c r="E73" s="39"/>
      <c r="F73" s="51"/>
      <c r="G73" s="39"/>
    </row>
    <row r="74">
      <c r="F74" s="84"/>
    </row>
    <row r="75">
      <c r="F75" s="84"/>
    </row>
    <row r="76">
      <c r="F76" s="84"/>
    </row>
    <row r="77">
      <c r="F77" s="84"/>
    </row>
    <row r="78">
      <c r="F78" s="84"/>
    </row>
    <row r="79">
      <c r="F79" s="84"/>
    </row>
    <row r="80">
      <c r="F80" s="84"/>
    </row>
    <row r="81">
      <c r="F81" s="84"/>
    </row>
    <row r="82">
      <c r="F82" s="84"/>
    </row>
    <row r="83">
      <c r="F83" s="84"/>
    </row>
    <row r="84">
      <c r="F84" s="84"/>
    </row>
    <row r="85">
      <c r="F85" s="84"/>
    </row>
    <row r="86">
      <c r="F86" s="84"/>
    </row>
    <row r="87">
      <c r="F87" s="84"/>
    </row>
    <row r="88">
      <c r="F88" s="84"/>
    </row>
    <row r="89">
      <c r="F89" s="84"/>
    </row>
    <row r="90">
      <c r="F90" s="84"/>
    </row>
    <row r="91">
      <c r="F91" s="84"/>
    </row>
    <row r="92">
      <c r="F92" s="84"/>
    </row>
    <row r="93">
      <c r="F93" s="84"/>
    </row>
    <row r="94">
      <c r="F94" s="84"/>
    </row>
    <row r="95">
      <c r="F95" s="84"/>
    </row>
    <row r="96">
      <c r="F96" s="84"/>
    </row>
    <row r="97">
      <c r="F97" s="84"/>
    </row>
    <row r="98">
      <c r="F98" s="84"/>
    </row>
    <row r="99">
      <c r="F99" s="84"/>
    </row>
    <row r="100">
      <c r="F100" s="84"/>
    </row>
    <row r="101">
      <c r="F101" s="84"/>
    </row>
    <row r="102">
      <c r="F102" s="84"/>
    </row>
    <row r="103">
      <c r="F103" s="84"/>
    </row>
    <row r="104">
      <c r="F104" s="84"/>
    </row>
    <row r="105">
      <c r="F105" s="84"/>
    </row>
    <row r="106">
      <c r="F106" s="84"/>
    </row>
    <row r="107">
      <c r="F107" s="84"/>
    </row>
    <row r="108">
      <c r="F108" s="84"/>
    </row>
    <row r="109">
      <c r="F109" s="84"/>
    </row>
    <row r="110">
      <c r="F110" s="84"/>
    </row>
    <row r="111">
      <c r="F111" s="84"/>
    </row>
    <row r="112">
      <c r="F112" s="84"/>
    </row>
    <row r="113">
      <c r="F113" s="84"/>
    </row>
    <row r="114">
      <c r="F114" s="84"/>
    </row>
    <row r="115">
      <c r="F115" s="84"/>
    </row>
    <row r="116">
      <c r="F116" s="84"/>
    </row>
    <row r="117">
      <c r="F117" s="84"/>
    </row>
    <row r="118">
      <c r="F118" s="84"/>
    </row>
    <row r="119">
      <c r="F119" s="84"/>
    </row>
    <row r="120">
      <c r="F120" s="84"/>
    </row>
    <row r="121">
      <c r="F121" s="84"/>
    </row>
    <row r="122">
      <c r="F122" s="84"/>
    </row>
    <row r="123">
      <c r="F123" s="84"/>
    </row>
    <row r="124">
      <c r="F124" s="84"/>
    </row>
    <row r="125">
      <c r="F125" s="84"/>
    </row>
    <row r="126">
      <c r="F126" s="84"/>
    </row>
    <row r="127">
      <c r="F127" s="84"/>
    </row>
    <row r="128">
      <c r="F128" s="84"/>
    </row>
    <row r="129">
      <c r="F129" s="84"/>
    </row>
    <row r="130">
      <c r="F130" s="84"/>
    </row>
    <row r="131">
      <c r="F131" s="84"/>
    </row>
    <row r="132">
      <c r="F132" s="84"/>
    </row>
    <row r="133">
      <c r="F133" s="84"/>
    </row>
    <row r="134">
      <c r="F134" s="84"/>
    </row>
    <row r="135">
      <c r="F135" s="84"/>
    </row>
    <row r="136">
      <c r="F136" s="84"/>
    </row>
    <row r="137">
      <c r="F137" s="84"/>
    </row>
    <row r="138">
      <c r="F138" s="84"/>
    </row>
    <row r="139">
      <c r="F139" s="84"/>
    </row>
    <row r="140">
      <c r="F140" s="84"/>
    </row>
    <row r="141">
      <c r="F141" s="84"/>
    </row>
    <row r="142">
      <c r="F142" s="84"/>
    </row>
    <row r="143">
      <c r="F143" s="84"/>
    </row>
    <row r="144">
      <c r="F144" s="84"/>
    </row>
    <row r="145">
      <c r="F145" s="84"/>
    </row>
    <row r="146">
      <c r="F146" s="84"/>
    </row>
    <row r="147">
      <c r="F147" s="84"/>
    </row>
    <row r="148">
      <c r="F148" s="84"/>
    </row>
    <row r="149">
      <c r="F149" s="84"/>
    </row>
    <row r="150">
      <c r="F150" s="84"/>
    </row>
    <row r="151">
      <c r="F151" s="84"/>
    </row>
    <row r="152">
      <c r="F152" s="84"/>
    </row>
    <row r="153">
      <c r="F153" s="84"/>
    </row>
    <row r="154">
      <c r="F154" s="84"/>
    </row>
    <row r="155">
      <c r="F155" s="84"/>
    </row>
    <row r="156">
      <c r="F156" s="84"/>
    </row>
    <row r="157">
      <c r="F157" s="84"/>
    </row>
    <row r="158">
      <c r="F158" s="84"/>
    </row>
    <row r="159">
      <c r="F159" s="84"/>
    </row>
    <row r="160">
      <c r="F160" s="84"/>
    </row>
    <row r="161">
      <c r="F161" s="84"/>
    </row>
    <row r="162">
      <c r="F162" s="84"/>
    </row>
    <row r="163">
      <c r="F163" s="84"/>
    </row>
    <row r="164">
      <c r="F164" s="84"/>
    </row>
    <row r="165">
      <c r="F165" s="84"/>
    </row>
    <row r="166">
      <c r="F166" s="84"/>
    </row>
    <row r="167">
      <c r="F167" s="84"/>
    </row>
    <row r="168">
      <c r="F168" s="84"/>
    </row>
    <row r="169">
      <c r="F169" s="84"/>
    </row>
    <row r="170">
      <c r="F170" s="84"/>
    </row>
    <row r="171">
      <c r="F171" s="84"/>
    </row>
    <row r="172">
      <c r="F172" s="84"/>
    </row>
    <row r="173">
      <c r="F173" s="84"/>
    </row>
    <row r="174">
      <c r="F174" s="84"/>
    </row>
    <row r="175">
      <c r="F175" s="84"/>
    </row>
    <row r="176">
      <c r="F176" s="84"/>
    </row>
    <row r="177">
      <c r="F177" s="84"/>
    </row>
    <row r="178">
      <c r="F178" s="84"/>
    </row>
    <row r="179">
      <c r="F179" s="84"/>
    </row>
    <row r="180">
      <c r="F180" s="84"/>
    </row>
    <row r="181">
      <c r="F181" s="84"/>
    </row>
    <row r="182">
      <c r="F182" s="84"/>
    </row>
    <row r="183">
      <c r="F183" s="84"/>
    </row>
    <row r="184">
      <c r="F184" s="84"/>
    </row>
    <row r="185">
      <c r="F185" s="84"/>
    </row>
    <row r="186">
      <c r="F186" s="84"/>
    </row>
    <row r="187">
      <c r="F187" s="84"/>
    </row>
    <row r="188">
      <c r="F188" s="84"/>
    </row>
    <row r="189">
      <c r="F189" s="84"/>
    </row>
    <row r="190">
      <c r="F190" s="84"/>
    </row>
    <row r="191">
      <c r="F191" s="84"/>
    </row>
    <row r="192">
      <c r="F192" s="84"/>
    </row>
    <row r="193">
      <c r="F193" s="84"/>
    </row>
    <row r="194">
      <c r="F194" s="84"/>
    </row>
    <row r="195">
      <c r="F195" s="84"/>
    </row>
    <row r="196">
      <c r="F196" s="84"/>
    </row>
    <row r="197">
      <c r="F197" s="84"/>
    </row>
    <row r="198">
      <c r="F198" s="84"/>
    </row>
    <row r="199">
      <c r="F199" s="84"/>
    </row>
    <row r="200">
      <c r="F200" s="84"/>
    </row>
    <row r="201">
      <c r="F201" s="84"/>
    </row>
    <row r="202">
      <c r="F202" s="84"/>
    </row>
    <row r="203">
      <c r="F203" s="84"/>
    </row>
    <row r="204">
      <c r="F204" s="84"/>
    </row>
    <row r="205">
      <c r="F205" s="84"/>
    </row>
    <row r="206">
      <c r="F206" s="84"/>
    </row>
    <row r="207">
      <c r="F207" s="84"/>
    </row>
    <row r="208">
      <c r="F208" s="84"/>
    </row>
    <row r="209">
      <c r="F209" s="84"/>
    </row>
    <row r="210">
      <c r="F210" s="84"/>
    </row>
    <row r="211">
      <c r="F211" s="84"/>
    </row>
    <row r="212">
      <c r="F212" s="84"/>
    </row>
    <row r="213">
      <c r="F213" s="84"/>
    </row>
    <row r="214">
      <c r="F214" s="84"/>
    </row>
    <row r="215">
      <c r="F215" s="84"/>
    </row>
    <row r="216">
      <c r="F216" s="84"/>
    </row>
    <row r="217">
      <c r="F217" s="84"/>
    </row>
    <row r="218">
      <c r="F218" s="84"/>
    </row>
    <row r="219">
      <c r="F219" s="84"/>
    </row>
    <row r="220">
      <c r="F220" s="84"/>
    </row>
    <row r="221">
      <c r="F221" s="84"/>
    </row>
    <row r="222">
      <c r="F222" s="84"/>
    </row>
    <row r="223">
      <c r="F223" s="84"/>
    </row>
    <row r="224">
      <c r="F224" s="84"/>
    </row>
    <row r="225">
      <c r="F225" s="84"/>
    </row>
    <row r="226">
      <c r="F226" s="84"/>
    </row>
    <row r="227">
      <c r="F227" s="84"/>
    </row>
    <row r="228">
      <c r="F228" s="84"/>
    </row>
    <row r="229">
      <c r="F229" s="84"/>
    </row>
    <row r="230">
      <c r="F230" s="84"/>
    </row>
    <row r="231">
      <c r="F231" s="84"/>
    </row>
    <row r="232">
      <c r="F232" s="84"/>
    </row>
    <row r="233">
      <c r="F233" s="84"/>
    </row>
    <row r="234">
      <c r="F234" s="84"/>
    </row>
    <row r="235">
      <c r="F235" s="84"/>
    </row>
    <row r="236">
      <c r="F236" s="84"/>
    </row>
    <row r="237">
      <c r="F237" s="84"/>
    </row>
    <row r="238">
      <c r="F238" s="84"/>
    </row>
    <row r="239">
      <c r="F239" s="84"/>
    </row>
    <row r="240">
      <c r="F240" s="84"/>
    </row>
    <row r="241">
      <c r="F241" s="84"/>
    </row>
    <row r="242">
      <c r="F242" s="84"/>
    </row>
    <row r="243">
      <c r="F243" s="84"/>
    </row>
    <row r="244">
      <c r="F244" s="84"/>
    </row>
    <row r="245">
      <c r="F245" s="84"/>
    </row>
    <row r="246">
      <c r="F246" s="84"/>
    </row>
    <row r="247">
      <c r="F247" s="84"/>
    </row>
    <row r="248">
      <c r="F248" s="84"/>
    </row>
    <row r="249">
      <c r="F249" s="84"/>
    </row>
    <row r="250">
      <c r="F250" s="84"/>
    </row>
    <row r="251">
      <c r="F251" s="84"/>
    </row>
    <row r="252">
      <c r="F252" s="84"/>
    </row>
    <row r="253">
      <c r="F253" s="84"/>
    </row>
    <row r="254">
      <c r="F254" s="84"/>
    </row>
    <row r="255">
      <c r="F255" s="84"/>
    </row>
    <row r="256">
      <c r="F256" s="84"/>
    </row>
    <row r="257">
      <c r="F257" s="84"/>
    </row>
    <row r="258">
      <c r="F258" s="84"/>
    </row>
    <row r="259">
      <c r="F259" s="84"/>
    </row>
    <row r="260">
      <c r="F260" s="84"/>
    </row>
    <row r="261">
      <c r="F261" s="84"/>
    </row>
    <row r="262">
      <c r="F262" s="84"/>
    </row>
    <row r="263">
      <c r="F263" s="84"/>
    </row>
    <row r="264">
      <c r="F264" s="84"/>
    </row>
    <row r="265">
      <c r="F265" s="84"/>
    </row>
    <row r="266">
      <c r="F266" s="84"/>
    </row>
    <row r="267">
      <c r="F267" s="84"/>
    </row>
    <row r="268">
      <c r="F268" s="84"/>
    </row>
    <row r="269">
      <c r="F269" s="84"/>
    </row>
    <row r="270">
      <c r="F270" s="84"/>
    </row>
    <row r="271">
      <c r="F271" s="84"/>
    </row>
    <row r="272">
      <c r="F272" s="84"/>
    </row>
    <row r="273">
      <c r="F273" s="84"/>
    </row>
    <row r="274">
      <c r="F274" s="84"/>
    </row>
    <row r="275">
      <c r="F275" s="84"/>
    </row>
    <row r="276">
      <c r="F276" s="84"/>
    </row>
    <row r="277">
      <c r="F277" s="84"/>
    </row>
    <row r="278">
      <c r="F278" s="84"/>
    </row>
    <row r="279">
      <c r="F279" s="84"/>
    </row>
    <row r="280">
      <c r="F280" s="84"/>
    </row>
    <row r="281">
      <c r="F281" s="84"/>
    </row>
    <row r="282">
      <c r="F282" s="84"/>
    </row>
    <row r="283">
      <c r="F283" s="84"/>
    </row>
    <row r="284">
      <c r="F284" s="84"/>
    </row>
    <row r="285">
      <c r="F285" s="84"/>
    </row>
    <row r="286">
      <c r="F286" s="84"/>
    </row>
    <row r="287">
      <c r="F287" s="84"/>
    </row>
    <row r="288">
      <c r="F288" s="84"/>
    </row>
    <row r="289">
      <c r="F289" s="84"/>
    </row>
    <row r="290">
      <c r="F290" s="84"/>
    </row>
    <row r="291">
      <c r="F291" s="84"/>
    </row>
    <row r="292">
      <c r="F292" s="84"/>
    </row>
    <row r="293">
      <c r="F293" s="84"/>
    </row>
    <row r="294">
      <c r="F294" s="84"/>
    </row>
    <row r="295">
      <c r="F295" s="84"/>
    </row>
    <row r="296">
      <c r="F296" s="84"/>
    </row>
    <row r="297">
      <c r="F297" s="84"/>
    </row>
    <row r="298">
      <c r="F298" s="84"/>
    </row>
    <row r="299">
      <c r="F299" s="84"/>
    </row>
    <row r="300">
      <c r="F300" s="84"/>
    </row>
    <row r="301">
      <c r="F301" s="84"/>
    </row>
    <row r="302">
      <c r="F302" s="84"/>
    </row>
    <row r="303">
      <c r="F303" s="84"/>
    </row>
    <row r="304">
      <c r="F304" s="84"/>
    </row>
    <row r="305">
      <c r="F305" s="84"/>
    </row>
    <row r="306">
      <c r="F306" s="84"/>
    </row>
    <row r="307">
      <c r="F307" s="84"/>
    </row>
    <row r="308">
      <c r="F308" s="84"/>
    </row>
    <row r="309">
      <c r="F309" s="84"/>
    </row>
    <row r="310">
      <c r="F310" s="84"/>
    </row>
    <row r="311">
      <c r="F311" s="84"/>
    </row>
    <row r="312">
      <c r="F312" s="84"/>
    </row>
    <row r="313">
      <c r="F313" s="84"/>
    </row>
    <row r="314">
      <c r="F314" s="84"/>
    </row>
    <row r="315">
      <c r="F315" s="84"/>
    </row>
    <row r="316">
      <c r="F316" s="84"/>
    </row>
    <row r="317">
      <c r="F317" s="84"/>
    </row>
    <row r="318">
      <c r="F318" s="84"/>
    </row>
    <row r="319">
      <c r="F319" s="84"/>
    </row>
    <row r="320">
      <c r="F320" s="84"/>
    </row>
    <row r="321">
      <c r="F321" s="84"/>
    </row>
    <row r="322">
      <c r="F322" s="84"/>
    </row>
    <row r="323">
      <c r="F323" s="84"/>
    </row>
    <row r="324">
      <c r="F324" s="84"/>
    </row>
    <row r="325">
      <c r="F325" s="84"/>
    </row>
    <row r="326">
      <c r="F326" s="84"/>
    </row>
    <row r="327">
      <c r="F327" s="84"/>
    </row>
    <row r="328">
      <c r="F328" s="84"/>
    </row>
    <row r="329">
      <c r="F329" s="84"/>
    </row>
    <row r="330">
      <c r="F330" s="84"/>
    </row>
    <row r="331">
      <c r="F331" s="84"/>
    </row>
    <row r="332">
      <c r="F332" s="84"/>
    </row>
    <row r="333">
      <c r="F333" s="84"/>
    </row>
    <row r="334">
      <c r="F334" s="84"/>
    </row>
    <row r="335">
      <c r="F335" s="84"/>
    </row>
    <row r="336">
      <c r="F336" s="84"/>
    </row>
    <row r="337">
      <c r="F337" s="84"/>
    </row>
    <row r="338">
      <c r="F338" s="84"/>
    </row>
    <row r="339">
      <c r="F339" s="84"/>
    </row>
    <row r="340">
      <c r="F340" s="84"/>
    </row>
    <row r="341">
      <c r="F341" s="84"/>
    </row>
    <row r="342">
      <c r="F342" s="84"/>
    </row>
    <row r="343">
      <c r="F343" s="84"/>
    </row>
    <row r="344">
      <c r="F344" s="84"/>
    </row>
    <row r="345">
      <c r="F345" s="84"/>
    </row>
    <row r="346">
      <c r="F346" s="84"/>
    </row>
    <row r="347">
      <c r="F347" s="84"/>
    </row>
    <row r="348">
      <c r="F348" s="84"/>
    </row>
    <row r="349">
      <c r="F349" s="84"/>
    </row>
    <row r="350">
      <c r="F350" s="84"/>
    </row>
    <row r="351">
      <c r="F351" s="84"/>
    </row>
    <row r="352">
      <c r="F352" s="84"/>
    </row>
    <row r="353">
      <c r="F353" s="84"/>
    </row>
    <row r="354">
      <c r="F354" s="84"/>
    </row>
    <row r="355">
      <c r="F355" s="84"/>
    </row>
    <row r="356">
      <c r="F356" s="84"/>
    </row>
    <row r="357">
      <c r="F357" s="84"/>
    </row>
    <row r="358">
      <c r="F358" s="84"/>
    </row>
    <row r="359">
      <c r="F359" s="84"/>
    </row>
    <row r="360">
      <c r="F360" s="84"/>
    </row>
    <row r="361">
      <c r="F361" s="84"/>
    </row>
    <row r="362">
      <c r="F362" s="84"/>
    </row>
    <row r="363">
      <c r="F363" s="84"/>
    </row>
    <row r="364">
      <c r="F364" s="84"/>
    </row>
    <row r="365">
      <c r="F365" s="84"/>
    </row>
    <row r="366">
      <c r="F366" s="84"/>
    </row>
    <row r="367">
      <c r="F367" s="84"/>
    </row>
    <row r="368">
      <c r="F368" s="84"/>
    </row>
    <row r="369">
      <c r="F369" s="84"/>
    </row>
    <row r="370">
      <c r="F370" s="84"/>
    </row>
    <row r="371">
      <c r="F371" s="84"/>
    </row>
    <row r="372">
      <c r="F372" s="84"/>
    </row>
    <row r="373">
      <c r="F373" s="84"/>
    </row>
    <row r="374">
      <c r="F374" s="84"/>
    </row>
    <row r="375">
      <c r="F375" s="84"/>
    </row>
    <row r="376">
      <c r="F376" s="84"/>
    </row>
    <row r="377">
      <c r="F377" s="84"/>
    </row>
    <row r="378">
      <c r="F378" s="84"/>
    </row>
    <row r="379">
      <c r="F379" s="84"/>
    </row>
    <row r="380">
      <c r="F380" s="84"/>
    </row>
    <row r="381">
      <c r="F381" s="84"/>
    </row>
    <row r="382">
      <c r="F382" s="84"/>
    </row>
    <row r="383">
      <c r="F383" s="84"/>
    </row>
    <row r="384">
      <c r="F384" s="84"/>
    </row>
    <row r="385">
      <c r="F385" s="84"/>
    </row>
    <row r="386">
      <c r="F386" s="84"/>
    </row>
    <row r="387">
      <c r="F387" s="84"/>
    </row>
    <row r="388">
      <c r="F388" s="84"/>
    </row>
    <row r="389">
      <c r="F389" s="84"/>
    </row>
    <row r="390">
      <c r="F390" s="84"/>
    </row>
    <row r="391">
      <c r="F391" s="84"/>
    </row>
    <row r="392">
      <c r="F392" s="84"/>
    </row>
    <row r="393">
      <c r="F393" s="84"/>
    </row>
    <row r="394">
      <c r="F394" s="84"/>
    </row>
    <row r="395">
      <c r="F395" s="84"/>
    </row>
    <row r="396">
      <c r="F396" s="84"/>
    </row>
    <row r="397">
      <c r="F397" s="84"/>
    </row>
    <row r="398">
      <c r="F398" s="84"/>
    </row>
    <row r="399">
      <c r="F399" s="84"/>
    </row>
    <row r="400">
      <c r="F400" s="84"/>
    </row>
    <row r="401">
      <c r="F401" s="84"/>
    </row>
    <row r="402">
      <c r="F402" s="84"/>
    </row>
    <row r="403">
      <c r="F403" s="84"/>
    </row>
    <row r="404">
      <c r="F404" s="84"/>
    </row>
    <row r="405">
      <c r="F405" s="84"/>
    </row>
    <row r="406">
      <c r="F406" s="84"/>
    </row>
    <row r="407">
      <c r="F407" s="84"/>
    </row>
    <row r="408">
      <c r="F408" s="84"/>
    </row>
    <row r="409">
      <c r="F409" s="84"/>
    </row>
    <row r="410">
      <c r="F410" s="84"/>
    </row>
    <row r="411">
      <c r="F411" s="84"/>
    </row>
    <row r="412">
      <c r="F412" s="84"/>
    </row>
    <row r="413">
      <c r="F413" s="84"/>
    </row>
    <row r="414">
      <c r="F414" s="84"/>
    </row>
    <row r="415">
      <c r="F415" s="84"/>
    </row>
    <row r="416">
      <c r="F416" s="84"/>
    </row>
    <row r="417">
      <c r="F417" s="84"/>
    </row>
    <row r="418">
      <c r="F418" s="84"/>
    </row>
    <row r="419">
      <c r="F419" s="84"/>
    </row>
    <row r="420">
      <c r="F420" s="84"/>
    </row>
    <row r="421">
      <c r="F421" s="84"/>
    </row>
    <row r="422">
      <c r="F422" s="84"/>
    </row>
    <row r="423">
      <c r="F423" s="84"/>
    </row>
    <row r="424">
      <c r="F424" s="84"/>
    </row>
    <row r="425">
      <c r="F425" s="84"/>
    </row>
    <row r="426">
      <c r="F426" s="84"/>
    </row>
    <row r="427">
      <c r="F427" s="84"/>
    </row>
    <row r="428">
      <c r="F428" s="84"/>
    </row>
    <row r="429">
      <c r="F429" s="84"/>
    </row>
    <row r="430">
      <c r="F430" s="84"/>
    </row>
    <row r="431">
      <c r="F431" s="84"/>
    </row>
    <row r="432">
      <c r="F432" s="84"/>
    </row>
    <row r="433">
      <c r="F433" s="84"/>
    </row>
    <row r="434">
      <c r="F434" s="84"/>
    </row>
    <row r="435">
      <c r="F435" s="84"/>
    </row>
    <row r="436">
      <c r="F436" s="84"/>
    </row>
    <row r="437">
      <c r="F437" s="84"/>
    </row>
    <row r="438">
      <c r="F438" s="84"/>
    </row>
    <row r="439">
      <c r="F439" s="84"/>
    </row>
    <row r="440">
      <c r="F440" s="84"/>
    </row>
    <row r="441">
      <c r="F441" s="84"/>
    </row>
    <row r="442">
      <c r="F442" s="84"/>
    </row>
    <row r="443">
      <c r="F443" s="84"/>
    </row>
    <row r="444">
      <c r="F444" s="84"/>
    </row>
    <row r="445">
      <c r="F445" s="84"/>
    </row>
    <row r="446">
      <c r="F446" s="84"/>
    </row>
    <row r="447">
      <c r="F447" s="84"/>
    </row>
    <row r="448">
      <c r="F448" s="84"/>
    </row>
    <row r="449">
      <c r="F449" s="84"/>
    </row>
    <row r="450">
      <c r="F450" s="84"/>
    </row>
    <row r="451">
      <c r="F451" s="84"/>
    </row>
    <row r="452">
      <c r="F452" s="84"/>
    </row>
    <row r="453">
      <c r="F453" s="84"/>
    </row>
    <row r="454">
      <c r="F454" s="84"/>
    </row>
    <row r="455">
      <c r="F455" s="84"/>
    </row>
    <row r="456">
      <c r="F456" s="84"/>
    </row>
    <row r="457">
      <c r="F457" s="84"/>
    </row>
    <row r="458">
      <c r="F458" s="84"/>
    </row>
    <row r="459">
      <c r="F459" s="84"/>
    </row>
    <row r="460">
      <c r="F460" s="84"/>
    </row>
    <row r="461">
      <c r="F461" s="84"/>
    </row>
    <row r="462">
      <c r="F462" s="84"/>
    </row>
    <row r="463">
      <c r="F463" s="84"/>
    </row>
    <row r="464">
      <c r="F464" s="84"/>
    </row>
    <row r="465">
      <c r="F465" s="84"/>
    </row>
    <row r="466">
      <c r="F466" s="84"/>
    </row>
    <row r="467">
      <c r="F467" s="84"/>
    </row>
    <row r="468">
      <c r="F468" s="84"/>
    </row>
    <row r="469">
      <c r="F469" s="84"/>
    </row>
    <row r="470">
      <c r="F470" s="84"/>
    </row>
    <row r="471">
      <c r="F471" s="84"/>
    </row>
    <row r="472">
      <c r="F472" s="84"/>
    </row>
    <row r="473">
      <c r="F473" s="84"/>
    </row>
    <row r="474">
      <c r="F474" s="84"/>
    </row>
    <row r="475">
      <c r="F475" s="84"/>
    </row>
    <row r="476">
      <c r="F476" s="84"/>
    </row>
    <row r="477">
      <c r="F477" s="84"/>
    </row>
    <row r="478">
      <c r="F478" s="84"/>
    </row>
    <row r="479">
      <c r="F479" s="84"/>
    </row>
    <row r="480">
      <c r="F480" s="84"/>
    </row>
    <row r="481">
      <c r="F481" s="84"/>
    </row>
    <row r="482">
      <c r="F482" s="84"/>
    </row>
    <row r="483">
      <c r="F483" s="84"/>
    </row>
    <row r="484">
      <c r="F484" s="84"/>
    </row>
    <row r="485">
      <c r="F485" s="84"/>
    </row>
    <row r="486">
      <c r="F486" s="84"/>
    </row>
    <row r="487">
      <c r="F487" s="84"/>
    </row>
    <row r="488">
      <c r="F488" s="84"/>
    </row>
    <row r="489">
      <c r="F489" s="84"/>
    </row>
    <row r="490">
      <c r="F490" s="84"/>
    </row>
    <row r="491">
      <c r="F491" s="84"/>
    </row>
    <row r="492">
      <c r="F492" s="84"/>
    </row>
    <row r="493">
      <c r="F493" s="84"/>
    </row>
    <row r="494">
      <c r="F494" s="84"/>
    </row>
    <row r="495">
      <c r="F495" s="84"/>
    </row>
    <row r="496">
      <c r="F496" s="84"/>
    </row>
    <row r="497">
      <c r="F497" s="84"/>
    </row>
    <row r="498">
      <c r="F498" s="84"/>
    </row>
    <row r="499">
      <c r="F499" s="84"/>
    </row>
    <row r="500">
      <c r="F500" s="84"/>
    </row>
    <row r="501">
      <c r="F501" s="84"/>
    </row>
    <row r="502">
      <c r="F502" s="84"/>
    </row>
    <row r="503">
      <c r="F503" s="84"/>
    </row>
    <row r="504">
      <c r="F504" s="84"/>
    </row>
    <row r="505">
      <c r="F505" s="84"/>
    </row>
    <row r="506">
      <c r="F506" s="84"/>
    </row>
    <row r="507">
      <c r="F507" s="84"/>
    </row>
    <row r="508">
      <c r="F508" s="84"/>
    </row>
    <row r="509">
      <c r="F509" s="84"/>
    </row>
    <row r="510">
      <c r="F510" s="84"/>
    </row>
    <row r="511">
      <c r="F511" s="84"/>
    </row>
    <row r="512">
      <c r="F512" s="84"/>
    </row>
    <row r="513">
      <c r="F513" s="84"/>
    </row>
    <row r="514">
      <c r="F514" s="84"/>
    </row>
    <row r="515">
      <c r="F515" s="84"/>
    </row>
    <row r="516">
      <c r="F516" s="84"/>
    </row>
    <row r="517">
      <c r="F517" s="84"/>
    </row>
    <row r="518">
      <c r="F518" s="84"/>
    </row>
    <row r="519">
      <c r="F519" s="84"/>
    </row>
    <row r="520">
      <c r="F520" s="84"/>
    </row>
    <row r="521">
      <c r="F521" s="84"/>
    </row>
    <row r="522">
      <c r="F522" s="84"/>
    </row>
    <row r="523">
      <c r="F523" s="84"/>
    </row>
    <row r="524">
      <c r="F524" s="84"/>
    </row>
    <row r="525">
      <c r="F525" s="84"/>
    </row>
    <row r="526">
      <c r="F526" s="84"/>
    </row>
    <row r="527">
      <c r="F527" s="84"/>
    </row>
    <row r="528">
      <c r="F528" s="84"/>
    </row>
    <row r="529">
      <c r="F529" s="84"/>
    </row>
    <row r="530">
      <c r="F530" s="84"/>
    </row>
    <row r="531">
      <c r="F531" s="84"/>
    </row>
    <row r="532">
      <c r="F532" s="84"/>
    </row>
    <row r="533">
      <c r="F533" s="84"/>
    </row>
    <row r="534">
      <c r="F534" s="84"/>
    </row>
    <row r="535">
      <c r="F535" s="84"/>
    </row>
    <row r="536">
      <c r="F536" s="84"/>
    </row>
    <row r="537">
      <c r="F537" s="84"/>
    </row>
    <row r="538">
      <c r="F538" s="84"/>
    </row>
    <row r="539">
      <c r="F539" s="84"/>
    </row>
    <row r="540">
      <c r="F540" s="84"/>
    </row>
    <row r="541">
      <c r="F541" s="84"/>
    </row>
    <row r="542">
      <c r="F542" s="84"/>
    </row>
    <row r="543">
      <c r="F543" s="84"/>
    </row>
    <row r="544">
      <c r="F544" s="84"/>
    </row>
    <row r="545">
      <c r="F545" s="84"/>
    </row>
    <row r="546">
      <c r="F546" s="84"/>
    </row>
    <row r="547">
      <c r="F547" s="84"/>
    </row>
    <row r="548">
      <c r="F548" s="84"/>
    </row>
    <row r="549">
      <c r="F549" s="84"/>
    </row>
    <row r="550">
      <c r="F550" s="84"/>
    </row>
    <row r="551">
      <c r="F551" s="84"/>
    </row>
    <row r="552">
      <c r="F552" s="84"/>
    </row>
    <row r="553">
      <c r="F553" s="84"/>
    </row>
    <row r="554">
      <c r="F554" s="84"/>
    </row>
    <row r="555">
      <c r="F555" s="84"/>
    </row>
    <row r="556">
      <c r="F556" s="84"/>
    </row>
    <row r="557">
      <c r="F557" s="84"/>
    </row>
    <row r="558">
      <c r="F558" s="84"/>
    </row>
    <row r="559">
      <c r="F559" s="84"/>
    </row>
    <row r="560">
      <c r="F560" s="84"/>
    </row>
    <row r="561">
      <c r="F561" s="84"/>
    </row>
    <row r="562">
      <c r="F562" s="84"/>
    </row>
    <row r="563">
      <c r="F563" s="84"/>
    </row>
    <row r="564">
      <c r="F564" s="84"/>
    </row>
    <row r="565">
      <c r="F565" s="84"/>
    </row>
    <row r="566">
      <c r="F566" s="84"/>
    </row>
    <row r="567">
      <c r="F567" s="84"/>
    </row>
    <row r="568">
      <c r="F568" s="84"/>
    </row>
    <row r="569">
      <c r="F569" s="84"/>
    </row>
    <row r="570">
      <c r="F570" s="84"/>
    </row>
    <row r="571">
      <c r="F571" s="84"/>
    </row>
    <row r="572">
      <c r="F572" s="84"/>
    </row>
    <row r="573">
      <c r="F573" s="84"/>
    </row>
    <row r="574">
      <c r="F574" s="84"/>
    </row>
    <row r="575">
      <c r="F575" s="84"/>
    </row>
    <row r="576">
      <c r="F576" s="84"/>
    </row>
    <row r="577">
      <c r="F577" s="84"/>
    </row>
    <row r="578">
      <c r="F578" s="84"/>
    </row>
    <row r="579">
      <c r="F579" s="84"/>
    </row>
    <row r="580">
      <c r="F580" s="84"/>
    </row>
    <row r="581">
      <c r="F581" s="84"/>
    </row>
    <row r="582">
      <c r="F582" s="84"/>
    </row>
    <row r="583">
      <c r="F583" s="84"/>
    </row>
    <row r="584">
      <c r="F584" s="84"/>
    </row>
    <row r="585">
      <c r="F585" s="84"/>
    </row>
    <row r="586">
      <c r="F586" s="84"/>
    </row>
    <row r="587">
      <c r="F587" s="84"/>
    </row>
    <row r="588">
      <c r="F588" s="84"/>
    </row>
    <row r="589">
      <c r="F589" s="84"/>
    </row>
    <row r="590">
      <c r="F590" s="84"/>
    </row>
    <row r="591">
      <c r="F591" s="84"/>
    </row>
    <row r="592">
      <c r="F592" s="84"/>
    </row>
    <row r="593">
      <c r="F593" s="84"/>
    </row>
    <row r="594">
      <c r="F594" s="84"/>
    </row>
    <row r="595">
      <c r="F595" s="84"/>
    </row>
    <row r="596">
      <c r="F596" s="84"/>
    </row>
    <row r="597">
      <c r="F597" s="84"/>
    </row>
    <row r="598">
      <c r="F598" s="84"/>
    </row>
    <row r="599">
      <c r="F599" s="84"/>
    </row>
    <row r="600">
      <c r="F600" s="84"/>
    </row>
    <row r="601">
      <c r="F601" s="84"/>
    </row>
    <row r="602">
      <c r="F602" s="84"/>
    </row>
    <row r="603">
      <c r="F603" s="84"/>
    </row>
    <row r="604">
      <c r="F604" s="84"/>
    </row>
    <row r="605">
      <c r="F605" s="84"/>
    </row>
    <row r="606">
      <c r="F606" s="84"/>
    </row>
    <row r="607">
      <c r="F607" s="84"/>
    </row>
    <row r="608">
      <c r="F608" s="84"/>
    </row>
    <row r="609">
      <c r="F609" s="84"/>
    </row>
    <row r="610">
      <c r="F610" s="84"/>
    </row>
    <row r="611">
      <c r="F611" s="84"/>
    </row>
    <row r="612">
      <c r="F612" s="84"/>
    </row>
    <row r="613">
      <c r="F613" s="84"/>
    </row>
    <row r="614">
      <c r="F614" s="84"/>
    </row>
    <row r="615">
      <c r="F615" s="84"/>
    </row>
    <row r="616">
      <c r="F616" s="84"/>
    </row>
    <row r="617">
      <c r="F617" s="84"/>
    </row>
    <row r="618">
      <c r="F618" s="84"/>
    </row>
    <row r="619">
      <c r="F619" s="84"/>
    </row>
    <row r="620">
      <c r="F620" s="84"/>
    </row>
    <row r="621">
      <c r="F621" s="84"/>
    </row>
    <row r="622">
      <c r="F622" s="84"/>
    </row>
    <row r="623">
      <c r="F623" s="84"/>
    </row>
    <row r="624">
      <c r="F624" s="84"/>
    </row>
    <row r="625">
      <c r="F625" s="84"/>
    </row>
    <row r="626">
      <c r="F626" s="84"/>
    </row>
    <row r="627">
      <c r="F627" s="84"/>
    </row>
    <row r="628">
      <c r="F628" s="84"/>
    </row>
    <row r="629">
      <c r="F629" s="84"/>
    </row>
    <row r="630">
      <c r="F630" s="84"/>
    </row>
    <row r="631">
      <c r="F631" s="84"/>
    </row>
    <row r="632">
      <c r="F632" s="84"/>
    </row>
    <row r="633">
      <c r="F633" s="84"/>
    </row>
    <row r="634">
      <c r="F634" s="84"/>
    </row>
    <row r="635">
      <c r="F635" s="84"/>
    </row>
    <row r="636">
      <c r="F636" s="84"/>
    </row>
    <row r="637">
      <c r="F637" s="84"/>
    </row>
    <row r="638">
      <c r="F638" s="84"/>
    </row>
    <row r="639">
      <c r="F639" s="84"/>
    </row>
    <row r="640">
      <c r="F640" s="84"/>
    </row>
    <row r="641">
      <c r="F641" s="84"/>
    </row>
    <row r="642">
      <c r="F642" s="84"/>
    </row>
    <row r="643">
      <c r="F643" s="84"/>
    </row>
    <row r="644">
      <c r="F644" s="84"/>
    </row>
    <row r="645">
      <c r="F645" s="84"/>
    </row>
    <row r="646">
      <c r="F646" s="84"/>
    </row>
    <row r="647">
      <c r="F647" s="84"/>
    </row>
    <row r="648">
      <c r="F648" s="84"/>
    </row>
    <row r="649">
      <c r="F649" s="84"/>
    </row>
    <row r="650">
      <c r="F650" s="84"/>
    </row>
    <row r="651">
      <c r="F651" s="84"/>
    </row>
    <row r="652">
      <c r="F652" s="84"/>
    </row>
    <row r="653">
      <c r="F653" s="84"/>
    </row>
    <row r="654">
      <c r="F654" s="84"/>
    </row>
    <row r="655">
      <c r="F655" s="84"/>
    </row>
    <row r="656">
      <c r="F656" s="84"/>
    </row>
    <row r="657">
      <c r="F657" s="84"/>
    </row>
    <row r="658">
      <c r="F658" s="84"/>
    </row>
    <row r="659">
      <c r="F659" s="84"/>
    </row>
    <row r="660">
      <c r="F660" s="84"/>
    </row>
    <row r="661">
      <c r="F661" s="84"/>
    </row>
    <row r="662">
      <c r="F662" s="84"/>
    </row>
    <row r="663">
      <c r="F663" s="84"/>
    </row>
    <row r="664">
      <c r="F664" s="84"/>
    </row>
    <row r="665">
      <c r="F665" s="84"/>
    </row>
    <row r="666">
      <c r="F666" s="84"/>
    </row>
    <row r="667">
      <c r="F667" s="84"/>
    </row>
    <row r="668">
      <c r="F668" s="84"/>
    </row>
    <row r="669">
      <c r="F669" s="84"/>
    </row>
    <row r="670">
      <c r="F670" s="84"/>
    </row>
    <row r="671">
      <c r="F671" s="84"/>
    </row>
    <row r="672">
      <c r="F672" s="84"/>
    </row>
    <row r="673">
      <c r="F673" s="84"/>
    </row>
    <row r="674">
      <c r="F674" s="84"/>
    </row>
    <row r="675">
      <c r="F675" s="84"/>
    </row>
    <row r="676">
      <c r="F676" s="84"/>
    </row>
    <row r="677">
      <c r="F677" s="84"/>
    </row>
    <row r="678">
      <c r="F678" s="84"/>
    </row>
    <row r="679">
      <c r="F679" s="84"/>
    </row>
    <row r="680">
      <c r="F680" s="84"/>
    </row>
    <row r="681">
      <c r="F681" s="84"/>
    </row>
    <row r="682">
      <c r="F682" s="84"/>
    </row>
    <row r="683">
      <c r="F683" s="84"/>
    </row>
    <row r="684">
      <c r="F684" s="84"/>
    </row>
    <row r="685">
      <c r="F685" s="84"/>
    </row>
    <row r="686">
      <c r="F686" s="84"/>
    </row>
    <row r="687">
      <c r="F687" s="84"/>
    </row>
    <row r="688">
      <c r="F688" s="84"/>
    </row>
    <row r="689">
      <c r="F689" s="84"/>
    </row>
    <row r="690">
      <c r="F690" s="84"/>
    </row>
    <row r="691">
      <c r="F691" s="84"/>
    </row>
    <row r="692">
      <c r="F692" s="84"/>
    </row>
    <row r="693">
      <c r="F693" s="84"/>
    </row>
    <row r="694">
      <c r="F694" s="84"/>
    </row>
    <row r="695">
      <c r="F695" s="84"/>
    </row>
    <row r="696">
      <c r="F696" s="84"/>
    </row>
    <row r="697">
      <c r="F697" s="84"/>
    </row>
    <row r="698">
      <c r="F698" s="84"/>
    </row>
    <row r="699">
      <c r="F699" s="84"/>
    </row>
    <row r="700">
      <c r="F700" s="84"/>
    </row>
    <row r="701">
      <c r="F701" s="84"/>
    </row>
    <row r="702">
      <c r="F702" s="84"/>
    </row>
    <row r="703">
      <c r="F703" s="84"/>
    </row>
    <row r="704">
      <c r="F704" s="84"/>
    </row>
    <row r="705">
      <c r="F705" s="84"/>
    </row>
    <row r="706">
      <c r="F706" s="84"/>
    </row>
    <row r="707">
      <c r="F707" s="84"/>
    </row>
    <row r="708">
      <c r="F708" s="84"/>
    </row>
    <row r="709">
      <c r="F709" s="84"/>
    </row>
    <row r="710">
      <c r="F710" s="84"/>
    </row>
    <row r="711">
      <c r="F711" s="84"/>
    </row>
    <row r="712">
      <c r="F712" s="84"/>
    </row>
    <row r="713">
      <c r="F713" s="84"/>
    </row>
    <row r="714">
      <c r="F714" s="84"/>
    </row>
    <row r="715">
      <c r="F715" s="84"/>
    </row>
    <row r="716">
      <c r="F716" s="84"/>
    </row>
    <row r="717">
      <c r="F717" s="84"/>
    </row>
    <row r="718">
      <c r="F718" s="84"/>
    </row>
    <row r="719">
      <c r="F719" s="84"/>
    </row>
    <row r="720">
      <c r="F720" s="84"/>
    </row>
    <row r="721">
      <c r="F721" s="84"/>
    </row>
    <row r="722">
      <c r="F722" s="84"/>
    </row>
    <row r="723">
      <c r="F723" s="84"/>
    </row>
    <row r="724">
      <c r="F724" s="84"/>
    </row>
    <row r="725">
      <c r="F725" s="84"/>
    </row>
    <row r="726">
      <c r="F726" s="84"/>
    </row>
    <row r="727">
      <c r="F727" s="84"/>
    </row>
    <row r="728">
      <c r="F728" s="84"/>
    </row>
    <row r="729">
      <c r="F729" s="84"/>
    </row>
    <row r="730">
      <c r="F730" s="84"/>
    </row>
    <row r="731">
      <c r="F731" s="84"/>
    </row>
    <row r="732">
      <c r="F732" s="84"/>
    </row>
    <row r="733">
      <c r="F733" s="84"/>
    </row>
    <row r="734">
      <c r="F734" s="84"/>
    </row>
    <row r="735">
      <c r="F735" s="84"/>
    </row>
    <row r="736">
      <c r="F736" s="84"/>
    </row>
    <row r="737">
      <c r="F737" s="84"/>
    </row>
    <row r="738">
      <c r="F738" s="84"/>
    </row>
    <row r="739">
      <c r="F739" s="84"/>
    </row>
    <row r="740">
      <c r="F740" s="84"/>
    </row>
    <row r="741">
      <c r="F741" s="84"/>
    </row>
    <row r="742">
      <c r="F742" s="84"/>
    </row>
    <row r="743">
      <c r="F743" s="84"/>
    </row>
    <row r="744">
      <c r="F744" s="84"/>
    </row>
    <row r="745">
      <c r="F745" s="84"/>
    </row>
    <row r="746">
      <c r="F746" s="84"/>
    </row>
    <row r="747">
      <c r="F747" s="84"/>
    </row>
    <row r="748">
      <c r="F748" s="84"/>
    </row>
    <row r="749">
      <c r="F749" s="84"/>
    </row>
    <row r="750">
      <c r="F750" s="84"/>
    </row>
    <row r="751">
      <c r="F751" s="84"/>
    </row>
    <row r="752">
      <c r="F752" s="84"/>
    </row>
    <row r="753">
      <c r="F753" s="84"/>
    </row>
    <row r="754">
      <c r="F754" s="84"/>
    </row>
    <row r="755">
      <c r="F755" s="84"/>
    </row>
    <row r="756">
      <c r="F756" s="84"/>
    </row>
    <row r="757">
      <c r="F757" s="84"/>
    </row>
    <row r="758">
      <c r="F758" s="84"/>
    </row>
    <row r="759">
      <c r="F759" s="84"/>
    </row>
    <row r="760">
      <c r="F760" s="84"/>
    </row>
    <row r="761">
      <c r="F761" s="84"/>
    </row>
    <row r="762">
      <c r="F762" s="84"/>
    </row>
    <row r="763">
      <c r="F763" s="84"/>
    </row>
    <row r="764">
      <c r="F764" s="84"/>
    </row>
    <row r="765">
      <c r="F765" s="84"/>
    </row>
    <row r="766">
      <c r="F766" s="84"/>
    </row>
    <row r="767">
      <c r="F767" s="84"/>
    </row>
    <row r="768">
      <c r="F768" s="84"/>
    </row>
    <row r="769">
      <c r="F769" s="84"/>
    </row>
    <row r="770">
      <c r="F770" s="84"/>
    </row>
    <row r="771">
      <c r="F771" s="84"/>
    </row>
    <row r="772">
      <c r="F772" s="84"/>
    </row>
    <row r="773">
      <c r="F773" s="84"/>
    </row>
    <row r="774">
      <c r="F774" s="84"/>
    </row>
    <row r="775">
      <c r="F775" s="84"/>
    </row>
    <row r="776">
      <c r="F776" s="84"/>
    </row>
    <row r="777">
      <c r="F777" s="84"/>
    </row>
    <row r="778">
      <c r="F778" s="84"/>
    </row>
    <row r="779">
      <c r="F779" s="84"/>
    </row>
    <row r="780">
      <c r="F780" s="84"/>
    </row>
    <row r="781">
      <c r="F781" s="84"/>
    </row>
    <row r="782">
      <c r="F782" s="84"/>
    </row>
    <row r="783">
      <c r="F783" s="84"/>
    </row>
    <row r="784">
      <c r="F784" s="84"/>
    </row>
    <row r="785">
      <c r="F785" s="84"/>
    </row>
    <row r="786">
      <c r="F786" s="84"/>
    </row>
    <row r="787">
      <c r="F787" s="84"/>
    </row>
    <row r="788">
      <c r="F788" s="84"/>
    </row>
    <row r="789">
      <c r="F789" s="84"/>
    </row>
    <row r="790">
      <c r="F790" s="84"/>
    </row>
    <row r="791">
      <c r="F791" s="84"/>
    </row>
    <row r="792">
      <c r="F792" s="84"/>
    </row>
    <row r="793">
      <c r="F793" s="84"/>
    </row>
    <row r="794">
      <c r="F794" s="84"/>
    </row>
    <row r="795">
      <c r="F795" s="84"/>
    </row>
    <row r="796">
      <c r="F796" s="84"/>
    </row>
    <row r="797">
      <c r="F797" s="84"/>
    </row>
    <row r="798">
      <c r="F798" s="84"/>
    </row>
    <row r="799">
      <c r="F799" s="84"/>
    </row>
    <row r="800">
      <c r="F800" s="84"/>
    </row>
    <row r="801">
      <c r="F801" s="84"/>
    </row>
    <row r="802">
      <c r="F802" s="84"/>
    </row>
    <row r="803">
      <c r="F803" s="84"/>
    </row>
    <row r="804">
      <c r="F804" s="84"/>
    </row>
    <row r="805">
      <c r="F805" s="84"/>
    </row>
    <row r="806">
      <c r="F806" s="84"/>
    </row>
    <row r="807">
      <c r="F807" s="84"/>
    </row>
    <row r="808">
      <c r="F808" s="84"/>
    </row>
    <row r="809">
      <c r="F809" s="84"/>
    </row>
    <row r="810">
      <c r="F810" s="84"/>
    </row>
    <row r="811">
      <c r="F811" s="84"/>
    </row>
    <row r="812">
      <c r="F812" s="84"/>
    </row>
    <row r="813">
      <c r="F813" s="84"/>
    </row>
    <row r="814">
      <c r="F814" s="84"/>
    </row>
    <row r="815">
      <c r="F815" s="84"/>
    </row>
    <row r="816">
      <c r="F816" s="84"/>
    </row>
    <row r="817">
      <c r="F817" s="84"/>
    </row>
    <row r="818">
      <c r="F818" s="84"/>
    </row>
    <row r="819">
      <c r="F819" s="84"/>
    </row>
    <row r="820">
      <c r="F820" s="84"/>
    </row>
    <row r="821">
      <c r="F821" s="84"/>
    </row>
    <row r="822">
      <c r="F822" s="84"/>
    </row>
    <row r="823">
      <c r="F823" s="84"/>
    </row>
    <row r="824">
      <c r="F824" s="84"/>
    </row>
    <row r="825">
      <c r="F825" s="84"/>
    </row>
    <row r="826">
      <c r="F826" s="84"/>
    </row>
    <row r="827">
      <c r="F827" s="84"/>
    </row>
    <row r="828">
      <c r="F828" s="84"/>
    </row>
    <row r="829">
      <c r="F829" s="84"/>
    </row>
    <row r="830">
      <c r="F830" s="84"/>
    </row>
    <row r="831">
      <c r="F831" s="84"/>
    </row>
    <row r="832">
      <c r="F832" s="84"/>
    </row>
    <row r="833">
      <c r="F833" s="84"/>
    </row>
    <row r="834">
      <c r="F834" s="84"/>
    </row>
    <row r="835">
      <c r="F835" s="84"/>
    </row>
    <row r="836">
      <c r="F836" s="84"/>
    </row>
    <row r="837">
      <c r="F837" s="84"/>
    </row>
    <row r="838">
      <c r="F838" s="84"/>
    </row>
    <row r="839">
      <c r="F839" s="84"/>
    </row>
    <row r="840">
      <c r="F840" s="84"/>
    </row>
    <row r="841">
      <c r="F841" s="84"/>
    </row>
    <row r="842">
      <c r="F842" s="84"/>
    </row>
    <row r="843">
      <c r="F843" s="84"/>
    </row>
    <row r="844">
      <c r="F844" s="84"/>
    </row>
    <row r="845">
      <c r="F845" s="84"/>
    </row>
    <row r="846">
      <c r="F846" s="84"/>
    </row>
    <row r="847">
      <c r="F847" s="84"/>
    </row>
    <row r="848">
      <c r="F848" s="84"/>
    </row>
    <row r="849">
      <c r="F849" s="84"/>
    </row>
    <row r="850">
      <c r="F850" s="84"/>
    </row>
    <row r="851">
      <c r="F851" s="84"/>
    </row>
    <row r="852">
      <c r="F852" s="84"/>
    </row>
    <row r="853">
      <c r="F853" s="84"/>
    </row>
    <row r="854">
      <c r="F854" s="84"/>
    </row>
    <row r="855">
      <c r="F855" s="84"/>
    </row>
    <row r="856">
      <c r="F856" s="84"/>
    </row>
    <row r="857">
      <c r="F857" s="84"/>
    </row>
    <row r="858">
      <c r="F858" s="84"/>
    </row>
    <row r="859">
      <c r="F859" s="84"/>
    </row>
    <row r="860">
      <c r="F860" s="84"/>
    </row>
    <row r="861">
      <c r="F861" s="84"/>
    </row>
    <row r="862">
      <c r="F862" s="84"/>
    </row>
    <row r="863">
      <c r="F863" s="84"/>
    </row>
    <row r="864">
      <c r="F864" s="84"/>
    </row>
    <row r="865">
      <c r="F865" s="84"/>
    </row>
    <row r="866">
      <c r="F866" s="84"/>
    </row>
    <row r="867">
      <c r="F867" s="84"/>
    </row>
    <row r="868">
      <c r="F868" s="84"/>
    </row>
    <row r="869">
      <c r="F869" s="84"/>
    </row>
    <row r="870">
      <c r="F870" s="84"/>
    </row>
    <row r="871">
      <c r="F871" s="84"/>
    </row>
    <row r="872">
      <c r="F872" s="84"/>
    </row>
    <row r="873">
      <c r="F873" s="84"/>
    </row>
    <row r="874">
      <c r="F874" s="84"/>
    </row>
    <row r="875">
      <c r="F875" s="84"/>
    </row>
    <row r="876">
      <c r="F876" s="84"/>
    </row>
    <row r="877">
      <c r="F877" s="84"/>
    </row>
    <row r="878">
      <c r="F878" s="84"/>
    </row>
    <row r="879">
      <c r="F879" s="84"/>
    </row>
    <row r="880">
      <c r="F880" s="84"/>
    </row>
    <row r="881">
      <c r="F881" s="84"/>
    </row>
    <row r="882">
      <c r="F882" s="84"/>
    </row>
    <row r="883">
      <c r="F883" s="84"/>
    </row>
    <row r="884">
      <c r="F884" s="84"/>
    </row>
    <row r="885">
      <c r="F885" s="84"/>
    </row>
    <row r="886">
      <c r="F886" s="84"/>
    </row>
    <row r="887">
      <c r="F887" s="84"/>
    </row>
    <row r="888">
      <c r="F888" s="84"/>
    </row>
    <row r="889">
      <c r="F889" s="84"/>
    </row>
    <row r="890">
      <c r="F890" s="84"/>
    </row>
    <row r="891">
      <c r="F891" s="84"/>
    </row>
    <row r="892">
      <c r="F892" s="84"/>
    </row>
    <row r="893">
      <c r="F893" s="84"/>
    </row>
    <row r="894">
      <c r="F894" s="84"/>
    </row>
    <row r="895">
      <c r="F895" s="84"/>
    </row>
    <row r="896">
      <c r="F896" s="84"/>
    </row>
    <row r="897">
      <c r="F897" s="84"/>
    </row>
    <row r="898">
      <c r="F898" s="84"/>
    </row>
    <row r="899">
      <c r="F899" s="84"/>
    </row>
    <row r="900">
      <c r="F900" s="84"/>
    </row>
    <row r="901">
      <c r="F901" s="84"/>
    </row>
    <row r="902">
      <c r="F902" s="84"/>
    </row>
    <row r="903">
      <c r="F903" s="84"/>
    </row>
    <row r="904">
      <c r="F904" s="84"/>
    </row>
    <row r="905">
      <c r="F905" s="84"/>
    </row>
    <row r="906">
      <c r="F906" s="84"/>
    </row>
    <row r="907">
      <c r="F907" s="84"/>
    </row>
    <row r="908">
      <c r="F908" s="84"/>
    </row>
    <row r="909">
      <c r="F909" s="84"/>
    </row>
    <row r="910">
      <c r="F910" s="84"/>
    </row>
    <row r="911">
      <c r="F911" s="84"/>
    </row>
    <row r="912">
      <c r="F912" s="84"/>
    </row>
    <row r="913">
      <c r="F913" s="84"/>
    </row>
    <row r="914">
      <c r="F914" s="84"/>
    </row>
    <row r="915">
      <c r="F915" s="84"/>
    </row>
    <row r="916">
      <c r="F916" s="84"/>
    </row>
    <row r="917">
      <c r="F917" s="84"/>
    </row>
    <row r="918">
      <c r="F918" s="84"/>
    </row>
    <row r="919">
      <c r="F919" s="84"/>
    </row>
    <row r="920">
      <c r="F920" s="84"/>
    </row>
    <row r="921">
      <c r="F921" s="84"/>
    </row>
    <row r="922">
      <c r="F922" s="84"/>
    </row>
    <row r="923">
      <c r="F923" s="84"/>
    </row>
    <row r="924">
      <c r="F924" s="84"/>
    </row>
    <row r="925">
      <c r="F925" s="84"/>
    </row>
    <row r="926">
      <c r="F926" s="84"/>
    </row>
    <row r="927">
      <c r="F927" s="84"/>
    </row>
    <row r="928">
      <c r="F928" s="84"/>
    </row>
    <row r="929">
      <c r="F929" s="84"/>
    </row>
    <row r="930">
      <c r="F930" s="84"/>
    </row>
    <row r="931">
      <c r="F931" s="84"/>
    </row>
    <row r="932">
      <c r="F932" s="84"/>
    </row>
    <row r="933">
      <c r="F933" s="84"/>
    </row>
    <row r="934">
      <c r="F934" s="84"/>
    </row>
    <row r="935">
      <c r="F935" s="84"/>
    </row>
    <row r="936">
      <c r="F936" s="84"/>
    </row>
    <row r="937">
      <c r="F937" s="84"/>
    </row>
    <row r="938">
      <c r="F938" s="84"/>
    </row>
    <row r="939">
      <c r="F939" s="84"/>
    </row>
    <row r="940">
      <c r="F940" s="84"/>
    </row>
    <row r="941">
      <c r="F941" s="84"/>
    </row>
    <row r="942">
      <c r="F942" s="84"/>
    </row>
    <row r="943">
      <c r="F943" s="84"/>
    </row>
    <row r="944">
      <c r="F944" s="84"/>
    </row>
    <row r="945">
      <c r="F945" s="84"/>
    </row>
    <row r="946">
      <c r="F946" s="84"/>
    </row>
    <row r="947">
      <c r="F947" s="84"/>
    </row>
    <row r="948">
      <c r="F948" s="84"/>
    </row>
    <row r="949">
      <c r="F949" s="84"/>
    </row>
    <row r="950">
      <c r="F950" s="84"/>
    </row>
    <row r="951">
      <c r="F951" s="84"/>
    </row>
    <row r="952">
      <c r="F952" s="84"/>
    </row>
    <row r="953">
      <c r="F953" s="84"/>
    </row>
    <row r="954">
      <c r="F954" s="84"/>
    </row>
    <row r="955">
      <c r="F955" s="84"/>
    </row>
    <row r="956">
      <c r="F956" s="84"/>
    </row>
    <row r="957">
      <c r="F957" s="84"/>
    </row>
    <row r="958">
      <c r="F958" s="84"/>
    </row>
    <row r="959">
      <c r="F959" s="84"/>
    </row>
    <row r="960">
      <c r="F960" s="84"/>
    </row>
    <row r="961">
      <c r="F961" s="84"/>
    </row>
    <row r="962">
      <c r="F962" s="84"/>
    </row>
    <row r="963">
      <c r="F963" s="84"/>
    </row>
    <row r="964">
      <c r="F964" s="84"/>
    </row>
    <row r="965">
      <c r="F965" s="84"/>
    </row>
    <row r="966">
      <c r="F966" s="84"/>
    </row>
    <row r="967">
      <c r="F967" s="84"/>
    </row>
    <row r="968">
      <c r="F968" s="84"/>
    </row>
    <row r="969">
      <c r="F969" s="84"/>
    </row>
    <row r="970">
      <c r="F970" s="84"/>
    </row>
    <row r="971">
      <c r="F971" s="84"/>
    </row>
    <row r="972">
      <c r="F972" s="84"/>
    </row>
    <row r="973">
      <c r="F973" s="84"/>
    </row>
    <row r="974">
      <c r="F974" s="84"/>
    </row>
    <row r="975">
      <c r="F975" s="84"/>
    </row>
    <row r="976">
      <c r="F976" s="84"/>
    </row>
    <row r="977">
      <c r="F977" s="84"/>
    </row>
    <row r="978">
      <c r="F978" s="84"/>
    </row>
    <row r="979">
      <c r="F979" s="84"/>
    </row>
    <row r="980">
      <c r="F980" s="84"/>
    </row>
    <row r="981">
      <c r="F981" s="84"/>
    </row>
    <row r="982">
      <c r="F982" s="84"/>
    </row>
    <row r="983">
      <c r="F983" s="84"/>
    </row>
    <row r="984">
      <c r="F984" s="84"/>
    </row>
    <row r="985">
      <c r="F985" s="84"/>
    </row>
    <row r="986">
      <c r="F986" s="84"/>
    </row>
    <row r="987">
      <c r="F987" s="84"/>
    </row>
    <row r="988">
      <c r="F988" s="84"/>
    </row>
    <row r="989">
      <c r="F989" s="84"/>
    </row>
    <row r="990">
      <c r="F990" s="84"/>
    </row>
    <row r="991">
      <c r="F991" s="84"/>
    </row>
    <row r="992">
      <c r="F992" s="84"/>
    </row>
    <row r="993">
      <c r="F993" s="84"/>
    </row>
    <row r="994">
      <c r="F994" s="84"/>
    </row>
    <row r="995">
      <c r="F995" s="84"/>
    </row>
    <row r="996">
      <c r="F996" s="84"/>
    </row>
    <row r="997">
      <c r="F997" s="84"/>
    </row>
    <row r="998">
      <c r="F998" s="84"/>
    </row>
    <row r="999">
      <c r="F999" s="84"/>
    </row>
    <row r="1000">
      <c r="F1000" s="84"/>
    </row>
    <row r="1001">
      <c r="F1001" s="84"/>
    </row>
    <row r="1002">
      <c r="F1002" s="84"/>
    </row>
    <row r="1003">
      <c r="F1003" s="84"/>
    </row>
    <row r="1004">
      <c r="F1004" s="84"/>
    </row>
    <row r="1005">
      <c r="F1005" s="84"/>
    </row>
    <row r="1006">
      <c r="F1006" s="84"/>
    </row>
    <row r="1007">
      <c r="F1007" s="84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32.0"/>
    <col customWidth="1" min="3" max="3" width="24.75"/>
    <col customWidth="1" min="4" max="4" width="28.5"/>
    <col customWidth="1" min="5" max="5" width="22.88"/>
    <col customWidth="1" min="6" max="6" width="18.75"/>
  </cols>
  <sheetData>
    <row r="1">
      <c r="A1" s="87" t="s">
        <v>1</v>
      </c>
      <c r="B1" s="119" t="s">
        <v>937</v>
      </c>
      <c r="C1" s="87" t="s">
        <v>938</v>
      </c>
      <c r="D1" s="87" t="s">
        <v>939</v>
      </c>
      <c r="E1" s="87" t="s">
        <v>940</v>
      </c>
      <c r="F1" s="87" t="s">
        <v>941</v>
      </c>
    </row>
    <row r="2">
      <c r="A2" s="39"/>
      <c r="B2" s="39"/>
      <c r="C2" s="39"/>
      <c r="D2" s="39"/>
      <c r="E2" s="39"/>
      <c r="F2" s="39"/>
    </row>
    <row r="3">
      <c r="A3" s="39"/>
      <c r="B3" s="39"/>
      <c r="C3" s="39"/>
      <c r="D3" s="39"/>
      <c r="E3" s="39"/>
      <c r="F3" s="39"/>
    </row>
    <row r="4">
      <c r="A4" s="39"/>
      <c r="B4" s="39"/>
      <c r="C4" s="39"/>
      <c r="D4" s="39"/>
      <c r="E4" s="39"/>
      <c r="F4" s="39"/>
    </row>
    <row r="5">
      <c r="A5" s="39"/>
      <c r="B5" s="39"/>
      <c r="C5" s="39"/>
      <c r="D5" s="39"/>
      <c r="E5" s="39"/>
      <c r="F5" s="39"/>
    </row>
    <row r="6">
      <c r="A6" s="39"/>
      <c r="B6" s="39"/>
      <c r="C6" s="39"/>
      <c r="D6" s="39"/>
      <c r="E6" s="39"/>
      <c r="F6" s="39"/>
    </row>
    <row r="7">
      <c r="A7" s="39"/>
      <c r="B7" s="39"/>
      <c r="C7" s="39"/>
      <c r="D7" s="39"/>
      <c r="E7" s="39"/>
      <c r="F7" s="39"/>
    </row>
    <row r="8">
      <c r="A8" s="39"/>
      <c r="B8" s="39"/>
      <c r="C8" s="39"/>
      <c r="D8" s="39"/>
      <c r="E8" s="39"/>
      <c r="F8" s="39"/>
    </row>
    <row r="9">
      <c r="A9" s="39"/>
      <c r="B9" s="39"/>
      <c r="C9" s="39"/>
      <c r="D9" s="39"/>
      <c r="E9" s="39"/>
      <c r="F9" s="39"/>
    </row>
    <row r="10">
      <c r="A10" s="39"/>
      <c r="B10" s="39"/>
      <c r="C10" s="39"/>
      <c r="D10" s="39"/>
      <c r="E10" s="39"/>
      <c r="F10" s="39"/>
    </row>
    <row r="11">
      <c r="A11" s="39"/>
      <c r="B11" s="39"/>
      <c r="C11" s="39"/>
      <c r="D11" s="39"/>
      <c r="E11" s="39"/>
      <c r="F11" s="39"/>
    </row>
    <row r="12">
      <c r="A12" s="39"/>
      <c r="B12" s="39"/>
      <c r="C12" s="39"/>
      <c r="D12" s="39"/>
      <c r="E12" s="39"/>
      <c r="F12" s="39"/>
    </row>
    <row r="13">
      <c r="A13" s="39"/>
      <c r="B13" s="39"/>
      <c r="C13" s="39"/>
      <c r="D13" s="39"/>
      <c r="E13" s="39"/>
      <c r="F13" s="39"/>
    </row>
    <row r="14">
      <c r="A14" s="39"/>
      <c r="B14" s="39"/>
      <c r="C14" s="39"/>
      <c r="D14" s="39"/>
      <c r="E14" s="39"/>
      <c r="F14" s="39"/>
    </row>
    <row r="15">
      <c r="A15" s="39"/>
      <c r="B15" s="39"/>
      <c r="C15" s="39"/>
      <c r="D15" s="39"/>
      <c r="E15" s="39"/>
      <c r="F15" s="39"/>
    </row>
    <row r="16">
      <c r="A16" s="39"/>
      <c r="B16" s="39"/>
      <c r="C16" s="39"/>
      <c r="D16" s="39"/>
      <c r="E16" s="39"/>
      <c r="F16" s="39"/>
    </row>
    <row r="17">
      <c r="A17" s="39"/>
      <c r="B17" s="39"/>
      <c r="C17" s="39"/>
      <c r="D17" s="39"/>
      <c r="E17" s="39"/>
      <c r="F17" s="39"/>
    </row>
    <row r="18">
      <c r="A18" s="39"/>
      <c r="B18" s="39"/>
      <c r="C18" s="39"/>
      <c r="D18" s="39"/>
      <c r="E18" s="39"/>
      <c r="F18" s="39"/>
    </row>
    <row r="19">
      <c r="A19" s="39"/>
      <c r="B19" s="39"/>
      <c r="C19" s="39"/>
      <c r="D19" s="39"/>
      <c r="E19" s="39"/>
      <c r="F19" s="39"/>
    </row>
    <row r="20">
      <c r="A20" s="39"/>
      <c r="B20" s="39"/>
      <c r="C20" s="39"/>
      <c r="D20" s="39"/>
      <c r="E20" s="39"/>
      <c r="F20" s="39"/>
    </row>
    <row r="21">
      <c r="A21" s="39"/>
      <c r="B21" s="39"/>
      <c r="C21" s="39"/>
      <c r="D21" s="39"/>
      <c r="E21" s="39"/>
      <c r="F21" s="39"/>
    </row>
    <row r="22">
      <c r="A22" s="39"/>
      <c r="B22" s="39"/>
      <c r="C22" s="39"/>
      <c r="D22" s="39"/>
      <c r="E22" s="39"/>
      <c r="F22" s="39"/>
    </row>
    <row r="23">
      <c r="A23" s="39"/>
      <c r="B23" s="39"/>
      <c r="C23" s="39"/>
      <c r="D23" s="39"/>
      <c r="E23" s="39"/>
      <c r="F23" s="39"/>
    </row>
    <row r="24">
      <c r="A24" s="39"/>
      <c r="B24" s="39"/>
      <c r="C24" s="39"/>
      <c r="D24" s="39"/>
      <c r="E24" s="39"/>
      <c r="F24" s="39"/>
    </row>
    <row r="25">
      <c r="A25" s="39"/>
      <c r="B25" s="39"/>
      <c r="C25" s="39"/>
      <c r="D25" s="39"/>
      <c r="E25" s="39"/>
      <c r="F25" s="39"/>
    </row>
    <row r="26">
      <c r="A26" s="39"/>
      <c r="B26" s="39"/>
      <c r="C26" s="39"/>
      <c r="D26" s="39"/>
      <c r="E26" s="39"/>
      <c r="F26" s="39"/>
    </row>
    <row r="27">
      <c r="A27" s="39"/>
      <c r="B27" s="39"/>
      <c r="C27" s="39"/>
      <c r="D27" s="39"/>
      <c r="E27" s="39"/>
      <c r="F27" s="39"/>
    </row>
    <row r="28">
      <c r="A28" s="39"/>
      <c r="B28" s="39"/>
      <c r="C28" s="39"/>
      <c r="D28" s="39"/>
      <c r="E28" s="39"/>
      <c r="F28" s="39"/>
    </row>
    <row r="29">
      <c r="A29" s="39"/>
      <c r="B29" s="39"/>
      <c r="C29" s="39"/>
      <c r="D29" s="39"/>
      <c r="E29" s="39"/>
      <c r="F29" s="39"/>
    </row>
    <row r="30">
      <c r="A30" s="39"/>
      <c r="B30" s="39"/>
      <c r="C30" s="39"/>
      <c r="D30" s="39"/>
      <c r="E30" s="39"/>
      <c r="F30" s="39"/>
    </row>
    <row r="31">
      <c r="A31" s="39"/>
      <c r="B31" s="39"/>
      <c r="C31" s="39"/>
      <c r="D31" s="39"/>
      <c r="E31" s="39"/>
      <c r="F31" s="39"/>
    </row>
    <row r="32">
      <c r="A32" s="39"/>
      <c r="B32" s="39"/>
      <c r="C32" s="39"/>
      <c r="D32" s="39"/>
      <c r="E32" s="39"/>
      <c r="F32" s="39"/>
    </row>
    <row r="33">
      <c r="A33" s="39"/>
      <c r="B33" s="39"/>
      <c r="C33" s="39"/>
      <c r="D33" s="39"/>
      <c r="E33" s="39"/>
      <c r="F33" s="39"/>
    </row>
    <row r="34">
      <c r="A34" s="39"/>
      <c r="B34" s="39"/>
      <c r="C34" s="39"/>
      <c r="D34" s="39"/>
      <c r="E34" s="39"/>
      <c r="F34" s="39"/>
    </row>
    <row r="35">
      <c r="A35" s="39"/>
      <c r="B35" s="39"/>
      <c r="C35" s="39"/>
      <c r="D35" s="39"/>
      <c r="E35" s="39"/>
      <c r="F35" s="39"/>
    </row>
    <row r="36">
      <c r="A36" s="39"/>
      <c r="B36" s="39"/>
      <c r="C36" s="39"/>
      <c r="D36" s="39"/>
      <c r="E36" s="39"/>
      <c r="F36" s="39"/>
    </row>
    <row r="37">
      <c r="A37" s="39"/>
      <c r="B37" s="39"/>
      <c r="C37" s="39"/>
      <c r="D37" s="39"/>
      <c r="E37" s="39"/>
      <c r="F37" s="39"/>
    </row>
    <row r="38">
      <c r="A38" s="39"/>
      <c r="B38" s="39"/>
      <c r="C38" s="39"/>
      <c r="D38" s="39"/>
      <c r="E38" s="39"/>
      <c r="F38" s="3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30.0"/>
    <col customWidth="1" min="4" max="4" width="18.63"/>
    <col customWidth="1" min="5" max="5" width="59.75"/>
  </cols>
  <sheetData>
    <row r="1">
      <c r="A1" s="87" t="s">
        <v>1</v>
      </c>
      <c r="B1" s="87" t="s">
        <v>942</v>
      </c>
      <c r="C1" s="87" t="s">
        <v>865</v>
      </c>
      <c r="D1" s="87" t="s">
        <v>943</v>
      </c>
      <c r="E1" s="120" t="s">
        <v>914</v>
      </c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39"/>
      <c r="B2" s="39"/>
      <c r="C2" s="39"/>
      <c r="D2" s="39"/>
      <c r="E2" s="39"/>
    </row>
    <row r="3">
      <c r="A3" s="39"/>
      <c r="B3" s="39"/>
      <c r="C3" s="39"/>
      <c r="D3" s="39"/>
      <c r="E3" s="39"/>
    </row>
    <row r="4">
      <c r="A4" s="39"/>
      <c r="B4" s="39"/>
      <c r="C4" s="39"/>
      <c r="D4" s="39"/>
      <c r="E4" s="39"/>
    </row>
    <row r="5">
      <c r="A5" s="39"/>
      <c r="B5" s="39"/>
      <c r="C5" s="39"/>
      <c r="D5" s="39"/>
      <c r="E5" s="39"/>
    </row>
    <row r="6">
      <c r="A6" s="39"/>
      <c r="B6" s="39"/>
      <c r="C6" s="39"/>
      <c r="D6" s="39"/>
      <c r="E6" s="39"/>
    </row>
    <row r="7">
      <c r="A7" s="39"/>
      <c r="B7" s="39"/>
      <c r="C7" s="39"/>
      <c r="D7" s="39"/>
      <c r="E7" s="39"/>
    </row>
    <row r="8">
      <c r="A8" s="39"/>
      <c r="B8" s="39"/>
      <c r="C8" s="39"/>
      <c r="D8" s="39"/>
      <c r="E8" s="39"/>
    </row>
    <row r="9">
      <c r="A9" s="39"/>
      <c r="B9" s="39"/>
      <c r="C9" s="39"/>
      <c r="D9" s="39"/>
      <c r="E9" s="39"/>
    </row>
    <row r="10">
      <c r="A10" s="39"/>
      <c r="B10" s="39"/>
      <c r="C10" s="39"/>
      <c r="D10" s="39"/>
      <c r="E10" s="39"/>
    </row>
    <row r="11">
      <c r="A11" s="39"/>
      <c r="B11" s="39"/>
      <c r="C11" s="39"/>
      <c r="D11" s="39"/>
      <c r="E11" s="39"/>
    </row>
    <row r="12">
      <c r="A12" s="39"/>
      <c r="B12" s="39"/>
      <c r="C12" s="39"/>
      <c r="D12" s="39"/>
      <c r="E12" s="39"/>
    </row>
    <row r="13">
      <c r="A13" s="39"/>
      <c r="B13" s="39"/>
      <c r="C13" s="39"/>
      <c r="D13" s="39"/>
      <c r="E13" s="39"/>
    </row>
    <row r="14">
      <c r="A14" s="39"/>
      <c r="B14" s="39"/>
      <c r="C14" s="39"/>
      <c r="D14" s="39"/>
      <c r="E14" s="39"/>
    </row>
    <row r="15">
      <c r="A15" s="39"/>
      <c r="B15" s="39"/>
      <c r="C15" s="39"/>
      <c r="D15" s="39"/>
      <c r="E15" s="39"/>
    </row>
    <row r="16">
      <c r="A16" s="39"/>
      <c r="B16" s="39"/>
      <c r="C16" s="39"/>
      <c r="D16" s="39"/>
      <c r="E16" s="39"/>
    </row>
    <row r="17">
      <c r="A17" s="39"/>
      <c r="B17" s="39"/>
      <c r="C17" s="39"/>
      <c r="D17" s="39"/>
      <c r="E17" s="39"/>
    </row>
    <row r="18">
      <c r="A18" s="39"/>
      <c r="B18" s="39"/>
      <c r="C18" s="39"/>
      <c r="D18" s="39"/>
      <c r="E18" s="39"/>
    </row>
    <row r="19">
      <c r="A19" s="39"/>
      <c r="B19" s="39"/>
      <c r="C19" s="39"/>
      <c r="D19" s="39"/>
      <c r="E19" s="39"/>
    </row>
    <row r="20">
      <c r="A20" s="39"/>
      <c r="B20" s="39"/>
      <c r="C20" s="39"/>
      <c r="D20" s="39"/>
      <c r="E20" s="39"/>
    </row>
    <row r="21">
      <c r="A21" s="39"/>
      <c r="B21" s="39"/>
      <c r="C21" s="39"/>
      <c r="D21" s="39"/>
      <c r="E21" s="39"/>
    </row>
    <row r="22">
      <c r="A22" s="39"/>
      <c r="B22" s="39"/>
      <c r="C22" s="39"/>
      <c r="D22" s="39"/>
      <c r="E22" s="39"/>
    </row>
    <row r="23">
      <c r="A23" s="39"/>
      <c r="B23" s="39"/>
      <c r="C23" s="39"/>
      <c r="D23" s="39"/>
      <c r="E23" s="39"/>
    </row>
    <row r="24">
      <c r="A24" s="39"/>
      <c r="B24" s="39"/>
      <c r="C24" s="39"/>
      <c r="D24" s="39"/>
      <c r="E24" s="39"/>
    </row>
    <row r="25">
      <c r="A25" s="39"/>
      <c r="B25" s="39"/>
      <c r="C25" s="39"/>
      <c r="D25" s="39"/>
      <c r="E25" s="39"/>
    </row>
    <row r="26">
      <c r="A26" s="39"/>
      <c r="B26" s="39"/>
      <c r="C26" s="39"/>
      <c r="D26" s="39"/>
      <c r="E26" s="39"/>
    </row>
    <row r="27">
      <c r="A27" s="39"/>
      <c r="B27" s="39"/>
      <c r="C27" s="39"/>
      <c r="D27" s="39"/>
      <c r="E27" s="39"/>
    </row>
    <row r="28">
      <c r="A28" s="39"/>
      <c r="B28" s="39"/>
      <c r="C28" s="39"/>
      <c r="D28" s="39"/>
      <c r="E28" s="39"/>
    </row>
    <row r="29">
      <c r="A29" s="39"/>
      <c r="B29" s="39"/>
      <c r="C29" s="39"/>
      <c r="D29" s="39"/>
      <c r="E29" s="39"/>
    </row>
    <row r="30">
      <c r="A30" s="39"/>
      <c r="B30" s="39"/>
      <c r="C30" s="39"/>
      <c r="D30" s="39"/>
      <c r="E30" s="39"/>
    </row>
    <row r="31">
      <c r="A31" s="39"/>
      <c r="B31" s="39"/>
      <c r="C31" s="39"/>
      <c r="D31" s="39"/>
      <c r="E31" s="39"/>
    </row>
    <row r="32">
      <c r="A32" s="39"/>
      <c r="B32" s="39"/>
      <c r="C32" s="39"/>
      <c r="D32" s="39"/>
      <c r="E32" s="39"/>
    </row>
    <row r="33">
      <c r="A33" s="39"/>
      <c r="B33" s="39"/>
      <c r="C33" s="39"/>
      <c r="D33" s="39"/>
      <c r="E33" s="39"/>
    </row>
    <row r="34">
      <c r="A34" s="39"/>
      <c r="B34" s="39"/>
      <c r="C34" s="39"/>
      <c r="D34" s="39"/>
      <c r="E34" s="39"/>
    </row>
    <row r="35">
      <c r="A35" s="39"/>
      <c r="B35" s="39"/>
      <c r="C35" s="39"/>
      <c r="D35" s="39"/>
      <c r="E35" s="39"/>
    </row>
    <row r="36">
      <c r="A36" s="39"/>
      <c r="B36" s="39"/>
      <c r="C36" s="39"/>
      <c r="D36" s="39"/>
      <c r="E36" s="3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20.38"/>
  </cols>
  <sheetData>
    <row r="1">
      <c r="A1" s="121" t="s">
        <v>1</v>
      </c>
      <c r="B1" s="122" t="s">
        <v>944</v>
      </c>
      <c r="C1" s="123"/>
      <c r="D1" s="122" t="s">
        <v>945</v>
      </c>
      <c r="E1" s="123"/>
      <c r="F1" s="125" t="s">
        <v>948</v>
      </c>
      <c r="G1" s="125" t="s">
        <v>949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ht="36.0" customHeight="1">
      <c r="A2" s="127"/>
      <c r="B2" s="87" t="s">
        <v>953</v>
      </c>
      <c r="C2" s="87" t="s">
        <v>955</v>
      </c>
      <c r="D2" s="87" t="s">
        <v>73</v>
      </c>
      <c r="E2" s="87" t="s">
        <v>955</v>
      </c>
      <c r="F2" s="127"/>
      <c r="G2" s="127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39"/>
      <c r="B3" s="39"/>
      <c r="C3" s="39"/>
      <c r="D3" s="39"/>
      <c r="E3" s="39"/>
      <c r="F3" s="39"/>
      <c r="G3" s="39"/>
    </row>
    <row r="4">
      <c r="A4" s="39"/>
      <c r="B4" s="39"/>
      <c r="C4" s="39"/>
      <c r="D4" s="39"/>
      <c r="E4" s="39"/>
      <c r="F4" s="39"/>
      <c r="G4" s="39"/>
    </row>
    <row r="5">
      <c r="A5" s="39"/>
      <c r="B5" s="39"/>
      <c r="C5" s="39"/>
      <c r="D5" s="39"/>
      <c r="E5" s="39"/>
      <c r="F5" s="39"/>
      <c r="G5" s="39"/>
    </row>
    <row r="6">
      <c r="A6" s="39"/>
      <c r="B6" s="39"/>
      <c r="C6" s="39"/>
      <c r="D6" s="39"/>
      <c r="E6" s="39"/>
      <c r="F6" s="39"/>
      <c r="G6" s="39"/>
    </row>
    <row r="7">
      <c r="A7" s="39"/>
      <c r="B7" s="39"/>
      <c r="C7" s="39"/>
      <c r="D7" s="39"/>
      <c r="E7" s="39"/>
      <c r="F7" s="39"/>
      <c r="G7" s="39"/>
    </row>
    <row r="8">
      <c r="A8" s="39"/>
      <c r="B8" s="39"/>
      <c r="C8" s="39"/>
      <c r="D8" s="39"/>
      <c r="E8" s="39"/>
      <c r="F8" s="39"/>
      <c r="G8" s="39"/>
    </row>
    <row r="9">
      <c r="A9" s="39"/>
      <c r="B9" s="39"/>
      <c r="C9" s="39"/>
      <c r="D9" s="39"/>
      <c r="E9" s="39"/>
      <c r="F9" s="39"/>
      <c r="G9" s="39"/>
    </row>
    <row r="10">
      <c r="A10" s="39"/>
      <c r="B10" s="39"/>
      <c r="C10" s="39"/>
      <c r="D10" s="39"/>
      <c r="E10" s="39"/>
      <c r="F10" s="39"/>
      <c r="G10" s="39"/>
    </row>
    <row r="11">
      <c r="A11" s="39"/>
      <c r="B11" s="39"/>
      <c r="C11" s="39"/>
      <c r="D11" s="39"/>
      <c r="E11" s="39"/>
      <c r="F11" s="39"/>
      <c r="G11" s="39"/>
    </row>
    <row r="12">
      <c r="A12" s="39"/>
      <c r="B12" s="39"/>
      <c r="C12" s="39"/>
      <c r="D12" s="39"/>
      <c r="E12" s="39"/>
      <c r="F12" s="39"/>
      <c r="G12" s="39"/>
    </row>
    <row r="13">
      <c r="A13" s="39"/>
      <c r="B13" s="39"/>
      <c r="C13" s="39"/>
      <c r="D13" s="39"/>
      <c r="E13" s="39"/>
      <c r="F13" s="39"/>
      <c r="G13" s="39"/>
    </row>
    <row r="14">
      <c r="A14" s="39"/>
      <c r="B14" s="39"/>
      <c r="C14" s="39"/>
      <c r="D14" s="39"/>
      <c r="E14" s="39"/>
      <c r="F14" s="39"/>
      <c r="G14" s="39"/>
    </row>
    <row r="15">
      <c r="A15" s="39"/>
      <c r="B15" s="39"/>
      <c r="C15" s="39"/>
      <c r="D15" s="39"/>
      <c r="E15" s="39"/>
      <c r="F15" s="39"/>
      <c r="G15" s="39"/>
    </row>
    <row r="16">
      <c r="A16" s="39"/>
      <c r="B16" s="39"/>
      <c r="C16" s="39"/>
      <c r="D16" s="39"/>
      <c r="E16" s="39"/>
      <c r="F16" s="39"/>
      <c r="G16" s="39"/>
    </row>
    <row r="17">
      <c r="A17" s="39"/>
      <c r="B17" s="39"/>
      <c r="C17" s="39"/>
      <c r="D17" s="39"/>
      <c r="E17" s="39"/>
      <c r="F17" s="39"/>
      <c r="G17" s="39"/>
    </row>
    <row r="18">
      <c r="A18" s="39"/>
      <c r="B18" s="39"/>
      <c r="C18" s="39"/>
      <c r="D18" s="39"/>
      <c r="E18" s="39"/>
      <c r="F18" s="39"/>
      <c r="G18" s="39"/>
    </row>
    <row r="19">
      <c r="A19" s="39"/>
      <c r="B19" s="39"/>
      <c r="C19" s="39"/>
      <c r="D19" s="39"/>
      <c r="E19" s="39"/>
      <c r="F19" s="39"/>
      <c r="G19" s="39"/>
    </row>
    <row r="20">
      <c r="A20" s="39"/>
      <c r="B20" s="39"/>
      <c r="C20" s="39"/>
      <c r="D20" s="39"/>
      <c r="E20" s="39"/>
      <c r="F20" s="39"/>
      <c r="G20" s="39"/>
    </row>
    <row r="21">
      <c r="A21" s="39"/>
      <c r="B21" s="39"/>
      <c r="C21" s="39"/>
      <c r="D21" s="39"/>
      <c r="E21" s="39"/>
      <c r="F21" s="39"/>
      <c r="G21" s="39"/>
    </row>
    <row r="22">
      <c r="A22" s="39"/>
      <c r="B22" s="39"/>
      <c r="C22" s="39"/>
      <c r="D22" s="39"/>
      <c r="E22" s="39"/>
      <c r="F22" s="39"/>
      <c r="G22" s="39"/>
    </row>
    <row r="23">
      <c r="A23" s="39"/>
      <c r="B23" s="39"/>
      <c r="C23" s="39"/>
      <c r="D23" s="39"/>
      <c r="E23" s="39"/>
      <c r="F23" s="39"/>
      <c r="G23" s="39"/>
    </row>
    <row r="24">
      <c r="A24" s="39"/>
      <c r="B24" s="39"/>
      <c r="C24" s="39"/>
      <c r="D24" s="39"/>
      <c r="E24" s="39"/>
      <c r="F24" s="39"/>
      <c r="G24" s="39"/>
    </row>
    <row r="25">
      <c r="A25" s="39"/>
      <c r="B25" s="39"/>
      <c r="C25" s="39"/>
      <c r="D25" s="39"/>
      <c r="E25" s="39"/>
      <c r="F25" s="39"/>
      <c r="G25" s="39"/>
    </row>
    <row r="26">
      <c r="A26" s="39"/>
      <c r="B26" s="39"/>
      <c r="C26" s="39"/>
      <c r="D26" s="39"/>
      <c r="E26" s="39"/>
      <c r="F26" s="39"/>
      <c r="G26" s="39"/>
    </row>
    <row r="27">
      <c r="A27" s="39"/>
      <c r="B27" s="39"/>
      <c r="C27" s="39"/>
      <c r="D27" s="39"/>
      <c r="E27" s="39"/>
      <c r="F27" s="39"/>
      <c r="G27" s="39"/>
    </row>
    <row r="28">
      <c r="A28" s="39"/>
      <c r="B28" s="39"/>
      <c r="C28" s="39"/>
      <c r="D28" s="39"/>
      <c r="E28" s="39"/>
      <c r="F28" s="39"/>
      <c r="G28" s="39"/>
    </row>
    <row r="29">
      <c r="A29" s="39"/>
      <c r="B29" s="39"/>
      <c r="C29" s="39"/>
      <c r="D29" s="39"/>
      <c r="E29" s="39"/>
      <c r="F29" s="39"/>
      <c r="G29" s="39"/>
    </row>
    <row r="30">
      <c r="A30" s="39"/>
      <c r="B30" s="39"/>
      <c r="C30" s="39"/>
      <c r="D30" s="39"/>
      <c r="E30" s="39"/>
      <c r="F30" s="39"/>
      <c r="G30" s="39"/>
    </row>
    <row r="31">
      <c r="A31" s="39"/>
      <c r="B31" s="39"/>
      <c r="C31" s="39"/>
      <c r="D31" s="39"/>
      <c r="E31" s="39"/>
      <c r="F31" s="39"/>
      <c r="G31" s="39"/>
    </row>
    <row r="32">
      <c r="A32" s="39"/>
      <c r="B32" s="39"/>
      <c r="C32" s="39"/>
      <c r="D32" s="39"/>
      <c r="E32" s="39"/>
      <c r="F32" s="39"/>
      <c r="G32" s="39"/>
    </row>
    <row r="33">
      <c r="A33" s="39"/>
      <c r="B33" s="39"/>
      <c r="C33" s="39"/>
      <c r="D33" s="39"/>
      <c r="E33" s="39"/>
      <c r="F33" s="39"/>
      <c r="G33" s="39"/>
    </row>
    <row r="34">
      <c r="A34" s="39"/>
      <c r="B34" s="39"/>
      <c r="C34" s="39"/>
      <c r="D34" s="39"/>
      <c r="E34" s="39"/>
      <c r="F34" s="39"/>
      <c r="G34" s="39"/>
    </row>
    <row r="35">
      <c r="A35" s="39"/>
      <c r="B35" s="39"/>
      <c r="C35" s="39"/>
      <c r="D35" s="39"/>
      <c r="E35" s="39"/>
      <c r="F35" s="39"/>
      <c r="G35" s="39"/>
    </row>
    <row r="36">
      <c r="A36" s="39"/>
      <c r="B36" s="39"/>
      <c r="C36" s="39"/>
      <c r="D36" s="39"/>
      <c r="E36" s="39"/>
      <c r="F36" s="39"/>
      <c r="G36" s="39"/>
    </row>
    <row r="37">
      <c r="A37" s="39"/>
      <c r="B37" s="39"/>
      <c r="C37" s="39"/>
      <c r="D37" s="39"/>
      <c r="E37" s="39"/>
      <c r="F37" s="39"/>
      <c r="G37" s="39"/>
    </row>
    <row r="38">
      <c r="A38" s="39"/>
      <c r="B38" s="39"/>
      <c r="C38" s="39"/>
      <c r="D38" s="39"/>
      <c r="E38" s="39"/>
      <c r="F38" s="39"/>
      <c r="G38" s="39"/>
    </row>
    <row r="39">
      <c r="A39" s="39"/>
      <c r="B39" s="39"/>
      <c r="C39" s="39"/>
      <c r="D39" s="39"/>
      <c r="E39" s="39"/>
      <c r="F39" s="39"/>
      <c r="G39" s="39"/>
    </row>
    <row r="40">
      <c r="A40" s="39"/>
      <c r="B40" s="39"/>
      <c r="C40" s="39"/>
      <c r="D40" s="39"/>
      <c r="E40" s="39"/>
      <c r="F40" s="39"/>
      <c r="G40" s="39"/>
    </row>
    <row r="41">
      <c r="A41" s="39"/>
      <c r="B41" s="39"/>
      <c r="C41" s="39"/>
      <c r="D41" s="39"/>
      <c r="E41" s="39"/>
      <c r="F41" s="39"/>
      <c r="G41" s="39"/>
    </row>
    <row r="42">
      <c r="A42" s="39"/>
      <c r="B42" s="39"/>
      <c r="C42" s="39"/>
      <c r="D42" s="39"/>
      <c r="E42" s="39"/>
      <c r="F42" s="39"/>
      <c r="G42" s="39"/>
    </row>
    <row r="43">
      <c r="A43" s="39"/>
      <c r="B43" s="39"/>
      <c r="C43" s="39"/>
      <c r="D43" s="39"/>
      <c r="E43" s="39"/>
      <c r="F43" s="39"/>
      <c r="G43" s="39"/>
    </row>
    <row r="44">
      <c r="A44" s="39"/>
      <c r="B44" s="39"/>
      <c r="C44" s="39"/>
      <c r="D44" s="39"/>
      <c r="E44" s="39"/>
      <c r="F44" s="39"/>
      <c r="G44" s="39"/>
    </row>
    <row r="45">
      <c r="A45" s="39"/>
      <c r="B45" s="39"/>
      <c r="C45" s="39"/>
      <c r="D45" s="39"/>
      <c r="E45" s="39"/>
      <c r="F45" s="39"/>
      <c r="G45" s="39"/>
    </row>
    <row r="46">
      <c r="A46" s="39"/>
      <c r="B46" s="39"/>
      <c r="C46" s="39"/>
      <c r="D46" s="39"/>
      <c r="E46" s="39"/>
      <c r="F46" s="39"/>
      <c r="G46" s="39"/>
    </row>
    <row r="47">
      <c r="A47" s="39"/>
      <c r="B47" s="39"/>
      <c r="C47" s="39"/>
      <c r="D47" s="39"/>
      <c r="E47" s="39"/>
      <c r="F47" s="39"/>
      <c r="G47" s="39"/>
    </row>
    <row r="48">
      <c r="A48" s="39"/>
      <c r="B48" s="39"/>
      <c r="C48" s="39"/>
      <c r="D48" s="39"/>
      <c r="E48" s="39"/>
      <c r="F48" s="39"/>
      <c r="G48" s="39"/>
    </row>
    <row r="49">
      <c r="A49" s="39"/>
      <c r="B49" s="39"/>
      <c r="C49" s="39"/>
      <c r="D49" s="39"/>
      <c r="E49" s="39"/>
      <c r="F49" s="39"/>
      <c r="G49" s="39"/>
    </row>
    <row r="50">
      <c r="A50" s="39"/>
      <c r="B50" s="39"/>
      <c r="C50" s="39"/>
      <c r="D50" s="39"/>
      <c r="E50" s="39"/>
      <c r="F50" s="39"/>
      <c r="G50" s="39"/>
    </row>
  </sheetData>
  <mergeCells count="5">
    <mergeCell ref="A1:A2"/>
    <mergeCell ref="B1:C1"/>
    <mergeCell ref="D1:E1"/>
    <mergeCell ref="F1:F2"/>
    <mergeCell ref="G1:G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</cols>
  <sheetData>
    <row r="1">
      <c r="A1" s="99" t="s">
        <v>946</v>
      </c>
      <c r="B1" s="99" t="s">
        <v>947</v>
      </c>
      <c r="C1" s="99" t="s">
        <v>939</v>
      </c>
      <c r="D1" s="99" t="s">
        <v>940</v>
      </c>
      <c r="E1" s="99" t="s">
        <v>941</v>
      </c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>
      <c r="A2" s="126">
        <v>45314.0</v>
      </c>
      <c r="B2" s="14">
        <v>1.0</v>
      </c>
      <c r="C2" s="17" t="s">
        <v>950</v>
      </c>
      <c r="D2" s="17" t="s">
        <v>951</v>
      </c>
      <c r="E2" s="17" t="s">
        <v>952</v>
      </c>
    </row>
    <row r="3">
      <c r="A3" s="126">
        <v>45314.0</v>
      </c>
      <c r="B3" s="14">
        <v>2.0</v>
      </c>
      <c r="C3" s="14" t="s">
        <v>954</v>
      </c>
      <c r="D3" s="14" t="s">
        <v>956</v>
      </c>
      <c r="E3" s="17" t="s">
        <v>957</v>
      </c>
    </row>
    <row r="4">
      <c r="A4" s="126">
        <v>45317.0</v>
      </c>
      <c r="B4" s="14">
        <v>1.0</v>
      </c>
      <c r="C4" s="17" t="s">
        <v>958</v>
      </c>
      <c r="D4" s="17" t="s">
        <v>951</v>
      </c>
      <c r="E4" s="17" t="s">
        <v>959</v>
      </c>
    </row>
    <row r="5">
      <c r="A5" s="126">
        <v>45317.0</v>
      </c>
      <c r="B5" s="14">
        <v>2.0</v>
      </c>
      <c r="C5" s="17" t="s">
        <v>960</v>
      </c>
      <c r="D5" s="17" t="s">
        <v>961</v>
      </c>
      <c r="E5" s="17" t="s">
        <v>962</v>
      </c>
    </row>
    <row r="6">
      <c r="A6" s="126">
        <v>45321.0</v>
      </c>
      <c r="B6" s="14">
        <v>1.0</v>
      </c>
      <c r="C6" s="17" t="s">
        <v>963</v>
      </c>
      <c r="D6" s="17" t="s">
        <v>951</v>
      </c>
      <c r="E6" s="17" t="s">
        <v>964</v>
      </c>
    </row>
    <row r="7">
      <c r="A7" s="126">
        <v>45321.0</v>
      </c>
      <c r="B7" s="14">
        <v>2.0</v>
      </c>
      <c r="C7" s="17" t="s">
        <v>965</v>
      </c>
      <c r="D7" s="17" t="s">
        <v>956</v>
      </c>
      <c r="E7" s="17" t="s">
        <v>957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0.5"/>
    <col customWidth="1" min="2" max="2" width="38.75"/>
  </cols>
  <sheetData>
    <row r="1">
      <c r="A1" s="128" t="s">
        <v>3</v>
      </c>
      <c r="B1" s="128" t="s">
        <v>966</v>
      </c>
    </row>
    <row r="2">
      <c r="A2" s="128"/>
      <c r="B2" s="84">
        <v>0.0</v>
      </c>
    </row>
    <row r="3">
      <c r="A3" s="128">
        <v>3.0</v>
      </c>
      <c r="B3" s="84">
        <v>602.54</v>
      </c>
    </row>
    <row r="4">
      <c r="A4" s="128" t="s">
        <v>11</v>
      </c>
      <c r="B4" s="84">
        <v>671.5150000000001</v>
      </c>
    </row>
    <row r="5">
      <c r="A5" s="128" t="s">
        <v>15</v>
      </c>
      <c r="B5" s="84">
        <v>892.73</v>
      </c>
    </row>
    <row r="6">
      <c r="A6" s="128" t="s">
        <v>18</v>
      </c>
      <c r="B6" s="84">
        <v>769.82</v>
      </c>
    </row>
    <row r="7">
      <c r="A7" s="128" t="s">
        <v>48</v>
      </c>
      <c r="B7" s="84">
        <v>471.71</v>
      </c>
    </row>
    <row r="8">
      <c r="A8" s="128" t="s">
        <v>67</v>
      </c>
      <c r="B8" s="84">
        <v>2547.3000000000006</v>
      </c>
    </row>
    <row r="9">
      <c r="A9" s="128" t="s">
        <v>69</v>
      </c>
      <c r="B9" s="84">
        <v>2381.68</v>
      </c>
    </row>
    <row r="10">
      <c r="A10" s="128" t="s">
        <v>70</v>
      </c>
      <c r="B10" s="84">
        <v>310.63</v>
      </c>
    </row>
    <row r="11">
      <c r="A11" s="128" t="s">
        <v>72</v>
      </c>
      <c r="B11" s="84">
        <v>365.40999999999997</v>
      </c>
    </row>
    <row r="12">
      <c r="A12" s="128" t="s">
        <v>108</v>
      </c>
      <c r="B12" s="84">
        <v>1204.48</v>
      </c>
    </row>
    <row r="13">
      <c r="A13" s="128" t="s">
        <v>113</v>
      </c>
      <c r="B13" s="84">
        <v>1403.46</v>
      </c>
    </row>
    <row r="14">
      <c r="A14" s="128" t="s">
        <v>227</v>
      </c>
      <c r="B14" s="84">
        <v>433.72</v>
      </c>
    </row>
    <row r="15">
      <c r="A15" s="128" t="s">
        <v>967</v>
      </c>
      <c r="B15" s="84">
        <v>12054.994999999994</v>
      </c>
    </row>
  </sheetData>
  <drawing r:id="rId1"/>
</worksheet>
</file>